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&amp;W\05_Excel\Final Project\"/>
    </mc:Choice>
  </mc:AlternateContent>
  <xr:revisionPtr revIDLastSave="0" documentId="13_ncr:1_{8488F4B9-3FB1-471F-B149-227CBF5EA1D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aw Data" sheetId="2" r:id="rId1"/>
    <sheet name="Analysis" sheetId="3" r:id="rId2"/>
    <sheet name="Visualizations" sheetId="4" r:id="rId3"/>
    <sheet name="Dashboard" sheetId="5" r:id="rId4"/>
  </sheets>
  <calcPr calcId="191029" iterate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3" l="1"/>
  <c r="A2" i="5" s="1"/>
  <c r="A36" i="5"/>
  <c r="A35" i="5"/>
  <c r="A34" i="5"/>
  <c r="A33" i="5"/>
  <c r="A32" i="5"/>
  <c r="A31" i="5"/>
  <c r="A30" i="5"/>
  <c r="A29" i="5"/>
  <c r="A28" i="5"/>
  <c r="A27" i="5"/>
  <c r="A26" i="5"/>
  <c r="A25" i="5"/>
  <c r="F24" i="5"/>
  <c r="H24" i="5" s="1"/>
  <c r="A24" i="5"/>
  <c r="C19" i="5"/>
  <c r="B19" i="5"/>
  <c r="C18" i="5"/>
  <c r="B18" i="5"/>
  <c r="F17" i="5"/>
  <c r="C17" i="5"/>
  <c r="B17" i="5"/>
  <c r="F16" i="5"/>
  <c r="C16" i="5"/>
  <c r="B16" i="5"/>
  <c r="F15" i="5"/>
  <c r="C15" i="5"/>
  <c r="B15" i="5"/>
  <c r="E10" i="5"/>
  <c r="B10" i="5"/>
  <c r="K5" i="5"/>
  <c r="I5" i="5"/>
  <c r="G5" i="5"/>
  <c r="F25" i="5" s="1"/>
  <c r="H25" i="5" s="1"/>
  <c r="E5" i="5"/>
  <c r="C5" i="5"/>
  <c r="F26" i="5" s="1"/>
  <c r="H26" i="5" s="1"/>
  <c r="A5" i="5"/>
  <c r="A22" i="4"/>
  <c r="A21" i="4"/>
  <c r="B20" i="4"/>
  <c r="A20" i="4"/>
  <c r="A19" i="4"/>
  <c r="A18" i="4"/>
  <c r="A17" i="4"/>
  <c r="A16" i="4"/>
  <c r="A15" i="4"/>
  <c r="A14" i="4"/>
  <c r="A13" i="4"/>
  <c r="B8" i="4"/>
  <c r="E7" i="4"/>
  <c r="B7" i="4"/>
  <c r="E6" i="4"/>
  <c r="B6" i="4"/>
  <c r="E5" i="4"/>
  <c r="B5" i="4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C189" i="3"/>
  <c r="B36" i="5" s="1"/>
  <c r="D36" i="5" s="1"/>
  <c r="T188" i="3"/>
  <c r="C188" i="3"/>
  <c r="B35" i="5" s="1"/>
  <c r="T187" i="3"/>
  <c r="C187" i="3"/>
  <c r="B34" i="5" s="1"/>
  <c r="D34" i="5" s="1"/>
  <c r="T186" i="3"/>
  <c r="C186" i="3"/>
  <c r="B33" i="5" s="1"/>
  <c r="T185" i="3"/>
  <c r="C185" i="3"/>
  <c r="B32" i="5" s="1"/>
  <c r="D32" i="5" s="1"/>
  <c r="T184" i="3"/>
  <c r="C184" i="3"/>
  <c r="B31" i="5" s="1"/>
  <c r="T183" i="3"/>
  <c r="C183" i="3"/>
  <c r="B30" i="5" s="1"/>
  <c r="D30" i="5" s="1"/>
  <c r="T182" i="3"/>
  <c r="C182" i="3"/>
  <c r="B29" i="5" s="1"/>
  <c r="T181" i="3"/>
  <c r="C181" i="3"/>
  <c r="B28" i="5" s="1"/>
  <c r="D28" i="5" s="1"/>
  <c r="T180" i="3"/>
  <c r="C180" i="3"/>
  <c r="B27" i="5" s="1"/>
  <c r="T179" i="3"/>
  <c r="C179" i="3"/>
  <c r="B26" i="5" s="1"/>
  <c r="D26" i="5" s="1"/>
  <c r="T178" i="3"/>
  <c r="C178" i="3"/>
  <c r="B25" i="5" s="1"/>
  <c r="T177" i="3"/>
  <c r="C177" i="3"/>
  <c r="T176" i="3"/>
  <c r="T175" i="3"/>
  <c r="T174" i="3"/>
  <c r="T173" i="3"/>
  <c r="T172" i="3"/>
  <c r="T171" i="3"/>
  <c r="T170" i="3"/>
  <c r="T169" i="3"/>
  <c r="D169" i="3"/>
  <c r="T168" i="3"/>
  <c r="T167" i="3"/>
  <c r="T166" i="3"/>
  <c r="T165" i="3"/>
  <c r="T164" i="3"/>
  <c r="T163" i="3"/>
  <c r="C163" i="3"/>
  <c r="C164" i="3" s="1"/>
  <c r="T162" i="3"/>
  <c r="T161" i="3"/>
  <c r="T160" i="3"/>
  <c r="T159" i="3"/>
  <c r="C159" i="3"/>
  <c r="T158" i="3"/>
  <c r="T157" i="3"/>
  <c r="T156" i="3"/>
  <c r="H156" i="3"/>
  <c r="F156" i="3"/>
  <c r="G156" i="3" s="1"/>
  <c r="E156" i="3"/>
  <c r="D156" i="3"/>
  <c r="C156" i="3"/>
  <c r="B156" i="3"/>
  <c r="A156" i="3"/>
  <c r="T155" i="3"/>
  <c r="G155" i="3"/>
  <c r="F155" i="3"/>
  <c r="E155" i="3"/>
  <c r="D155" i="3"/>
  <c r="C155" i="3"/>
  <c r="B155" i="3"/>
  <c r="A155" i="3"/>
  <c r="T154" i="3"/>
  <c r="F154" i="3"/>
  <c r="G154" i="3" s="1"/>
  <c r="H154" i="3" s="1"/>
  <c r="D154" i="3"/>
  <c r="E154" i="3" s="1"/>
  <c r="B154" i="3"/>
  <c r="C154" i="3" s="1"/>
  <c r="A154" i="3"/>
  <c r="T153" i="3"/>
  <c r="G153" i="3"/>
  <c r="F153" i="3"/>
  <c r="E153" i="3"/>
  <c r="H153" i="3" s="1"/>
  <c r="D153" i="3"/>
  <c r="C153" i="3"/>
  <c r="B153" i="3"/>
  <c r="A153" i="3"/>
  <c r="T152" i="3"/>
  <c r="F152" i="3"/>
  <c r="G152" i="3" s="1"/>
  <c r="D152" i="3"/>
  <c r="E152" i="3" s="1"/>
  <c r="B152" i="3"/>
  <c r="C152" i="3" s="1"/>
  <c r="A152" i="3"/>
  <c r="T151" i="3"/>
  <c r="F151" i="3"/>
  <c r="G151" i="3" s="1"/>
  <c r="E151" i="3"/>
  <c r="D151" i="3"/>
  <c r="B151" i="3"/>
  <c r="C151" i="3" s="1"/>
  <c r="A151" i="3"/>
  <c r="T150" i="3"/>
  <c r="G150" i="3"/>
  <c r="F150" i="3"/>
  <c r="D150" i="3"/>
  <c r="E150" i="3" s="1"/>
  <c r="H150" i="3" s="1"/>
  <c r="C150" i="3"/>
  <c r="B150" i="3"/>
  <c r="A150" i="3"/>
  <c r="T149" i="3"/>
  <c r="G149" i="3"/>
  <c r="F149" i="3"/>
  <c r="D149" i="3"/>
  <c r="E149" i="3" s="1"/>
  <c r="C149" i="3"/>
  <c r="B149" i="3"/>
  <c r="A149" i="3"/>
  <c r="T148" i="3"/>
  <c r="F148" i="3"/>
  <c r="G148" i="3" s="1"/>
  <c r="D148" i="3"/>
  <c r="E148" i="3" s="1"/>
  <c r="C148" i="3"/>
  <c r="H148" i="3" s="1"/>
  <c r="B148" i="3"/>
  <c r="A148" i="3"/>
  <c r="T147" i="3"/>
  <c r="G147" i="3"/>
  <c r="F147" i="3"/>
  <c r="D147" i="3"/>
  <c r="E147" i="3" s="1"/>
  <c r="H147" i="3" s="1"/>
  <c r="C147" i="3"/>
  <c r="B147" i="3"/>
  <c r="A147" i="3"/>
  <c r="T146" i="3"/>
  <c r="F146" i="3"/>
  <c r="G146" i="3" s="1"/>
  <c r="D146" i="3"/>
  <c r="E146" i="3" s="1"/>
  <c r="H146" i="3" s="1"/>
  <c r="B146" i="3"/>
  <c r="C146" i="3" s="1"/>
  <c r="A146" i="3"/>
  <c r="T145" i="3"/>
  <c r="F145" i="3"/>
  <c r="G145" i="3" s="1"/>
  <c r="E145" i="3"/>
  <c r="D145" i="3"/>
  <c r="C145" i="3"/>
  <c r="B145" i="3"/>
  <c r="A145" i="3"/>
  <c r="T144" i="3"/>
  <c r="G144" i="3"/>
  <c r="F144" i="3"/>
  <c r="D144" i="3"/>
  <c r="E144" i="3" s="1"/>
  <c r="B144" i="3"/>
  <c r="C144" i="3" s="1"/>
  <c r="A144" i="3"/>
  <c r="T143" i="3"/>
  <c r="F143" i="3"/>
  <c r="G143" i="3" s="1"/>
  <c r="H143" i="3" s="1"/>
  <c r="E143" i="3"/>
  <c r="D143" i="3"/>
  <c r="B143" i="3"/>
  <c r="C143" i="3" s="1"/>
  <c r="A143" i="3"/>
  <c r="T142" i="3"/>
  <c r="H142" i="3"/>
  <c r="G142" i="3"/>
  <c r="F142" i="3"/>
  <c r="D142" i="3"/>
  <c r="E142" i="3" s="1"/>
  <c r="B142" i="3"/>
  <c r="C142" i="3" s="1"/>
  <c r="A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F108" i="3"/>
  <c r="B22" i="4" s="1"/>
  <c r="E108" i="3"/>
  <c r="D108" i="3"/>
  <c r="T107" i="3"/>
  <c r="F107" i="3"/>
  <c r="B21" i="4" s="1"/>
  <c r="E107" i="3"/>
  <c r="D107" i="3"/>
  <c r="T106" i="3"/>
  <c r="F106" i="3"/>
  <c r="E106" i="3"/>
  <c r="D106" i="3"/>
  <c r="T105" i="3"/>
  <c r="F105" i="3"/>
  <c r="B19" i="4" s="1"/>
  <c r="E105" i="3"/>
  <c r="D105" i="3"/>
  <c r="T104" i="3"/>
  <c r="F104" i="3"/>
  <c r="B18" i="4" s="1"/>
  <c r="E104" i="3"/>
  <c r="D104" i="3"/>
  <c r="T103" i="3"/>
  <c r="F103" i="3"/>
  <c r="B17" i="4" s="1"/>
  <c r="E103" i="3"/>
  <c r="D103" i="3"/>
  <c r="T102" i="3"/>
  <c r="F102" i="3"/>
  <c r="B16" i="4" s="1"/>
  <c r="E102" i="3"/>
  <c r="D102" i="3"/>
  <c r="T101" i="3"/>
  <c r="F101" i="3"/>
  <c r="B15" i="4" s="1"/>
  <c r="E101" i="3"/>
  <c r="D101" i="3"/>
  <c r="T100" i="3"/>
  <c r="F100" i="3"/>
  <c r="B14" i="4" s="1"/>
  <c r="E100" i="3"/>
  <c r="D100" i="3"/>
  <c r="T99" i="3"/>
  <c r="F99" i="3"/>
  <c r="B13" i="4" s="1"/>
  <c r="E99" i="3"/>
  <c r="D99" i="3"/>
  <c r="T98" i="3"/>
  <c r="T97" i="3"/>
  <c r="T96" i="3"/>
  <c r="U95" i="3"/>
  <c r="T95" i="3"/>
  <c r="E95" i="3"/>
  <c r="D95" i="3"/>
  <c r="C95" i="3"/>
  <c r="U94" i="3"/>
  <c r="T94" i="3"/>
  <c r="E94" i="3"/>
  <c r="D94" i="3"/>
  <c r="F94" i="3" s="1"/>
  <c r="C94" i="3"/>
  <c r="T93" i="3"/>
  <c r="E93" i="3"/>
  <c r="D93" i="3"/>
  <c r="C93" i="3"/>
  <c r="T92" i="3"/>
  <c r="F92" i="3"/>
  <c r="E92" i="3"/>
  <c r="D92" i="3"/>
  <c r="C92" i="3"/>
  <c r="U92" i="3" s="1"/>
  <c r="T91" i="3"/>
  <c r="E91" i="3"/>
  <c r="D91" i="3"/>
  <c r="C91" i="3"/>
  <c r="U90" i="3"/>
  <c r="T90" i="3"/>
  <c r="E90" i="3"/>
  <c r="D90" i="3"/>
  <c r="C90" i="3"/>
  <c r="T89" i="3"/>
  <c r="E89" i="3"/>
  <c r="D89" i="3"/>
  <c r="C89" i="3"/>
  <c r="U89" i="3" s="1"/>
  <c r="T88" i="3"/>
  <c r="F88" i="3"/>
  <c r="E88" i="3"/>
  <c r="D88" i="3"/>
  <c r="C88" i="3"/>
  <c r="U88" i="3" s="1"/>
  <c r="U87" i="3"/>
  <c r="T87" i="3"/>
  <c r="E87" i="3"/>
  <c r="D87" i="3"/>
  <c r="C87" i="3"/>
  <c r="T86" i="3"/>
  <c r="E86" i="3"/>
  <c r="D86" i="3"/>
  <c r="C86" i="3"/>
  <c r="T85" i="3"/>
  <c r="E85" i="3"/>
  <c r="D85" i="3"/>
  <c r="C85" i="3"/>
  <c r="U85" i="3" s="1"/>
  <c r="T84" i="3"/>
  <c r="F84" i="3"/>
  <c r="E84" i="3"/>
  <c r="D84" i="3"/>
  <c r="C84" i="3"/>
  <c r="U83" i="3"/>
  <c r="T83" i="3"/>
  <c r="F83" i="3"/>
  <c r="E83" i="3"/>
  <c r="D83" i="3"/>
  <c r="C83" i="3"/>
  <c r="U82" i="3"/>
  <c r="T82" i="3"/>
  <c r="E82" i="3"/>
  <c r="D82" i="3"/>
  <c r="C82" i="3"/>
  <c r="T81" i="3"/>
  <c r="E81" i="3"/>
  <c r="D81" i="3"/>
  <c r="C81" i="3"/>
  <c r="U81" i="3" s="1"/>
  <c r="T80" i="3"/>
  <c r="F80" i="3"/>
  <c r="E80" i="3"/>
  <c r="D80" i="3"/>
  <c r="C80" i="3"/>
  <c r="T79" i="3"/>
  <c r="E79" i="3"/>
  <c r="D79" i="3"/>
  <c r="C79" i="3"/>
  <c r="T78" i="3"/>
  <c r="E78" i="3"/>
  <c r="D78" i="3"/>
  <c r="C78" i="3"/>
  <c r="T77" i="3"/>
  <c r="E77" i="3"/>
  <c r="D77" i="3"/>
  <c r="C77" i="3"/>
  <c r="T76" i="3"/>
  <c r="F76" i="3"/>
  <c r="E76" i="3"/>
  <c r="D76" i="3"/>
  <c r="C76" i="3"/>
  <c r="U75" i="3"/>
  <c r="T75" i="3"/>
  <c r="E75" i="3"/>
  <c r="D75" i="3"/>
  <c r="C75" i="3"/>
  <c r="U74" i="3"/>
  <c r="T74" i="3"/>
  <c r="E74" i="3"/>
  <c r="D74" i="3"/>
  <c r="C74" i="3"/>
  <c r="T73" i="3"/>
  <c r="E73" i="3"/>
  <c r="D73" i="3"/>
  <c r="C73" i="3"/>
  <c r="U73" i="3" s="1"/>
  <c r="T72" i="3"/>
  <c r="F72" i="3"/>
  <c r="E72" i="3"/>
  <c r="D72" i="3"/>
  <c r="C72" i="3"/>
  <c r="U72" i="3" s="1"/>
  <c r="T71" i="3"/>
  <c r="E71" i="3"/>
  <c r="D71" i="3"/>
  <c r="C71" i="3"/>
  <c r="T70" i="3"/>
  <c r="E70" i="3"/>
  <c r="D70" i="3"/>
  <c r="C70" i="3"/>
  <c r="T69" i="3"/>
  <c r="E69" i="3"/>
  <c r="D69" i="3"/>
  <c r="C69" i="3"/>
  <c r="U69" i="3" s="1"/>
  <c r="T68" i="3"/>
  <c r="F68" i="3"/>
  <c r="E68" i="3"/>
  <c r="D68" i="3"/>
  <c r="C68" i="3"/>
  <c r="U68" i="3" s="1"/>
  <c r="U67" i="3"/>
  <c r="T67" i="3"/>
  <c r="E67" i="3"/>
  <c r="D67" i="3"/>
  <c r="C67" i="3"/>
  <c r="U66" i="3"/>
  <c r="T66" i="3"/>
  <c r="E66" i="3"/>
  <c r="D66" i="3"/>
  <c r="C66" i="3"/>
  <c r="T65" i="3"/>
  <c r="E65" i="3"/>
  <c r="D65" i="3"/>
  <c r="C65" i="3"/>
  <c r="U65" i="3" s="1"/>
  <c r="T64" i="3"/>
  <c r="F64" i="3"/>
  <c r="E64" i="3"/>
  <c r="D64" i="3"/>
  <c r="C64" i="3"/>
  <c r="U64" i="3" s="1"/>
  <c r="U63" i="3"/>
  <c r="T63" i="3"/>
  <c r="E63" i="3"/>
  <c r="D63" i="3"/>
  <c r="C63" i="3"/>
  <c r="U62" i="3"/>
  <c r="T62" i="3"/>
  <c r="E62" i="3"/>
  <c r="D62" i="3"/>
  <c r="C62" i="3"/>
  <c r="T61" i="3"/>
  <c r="E61" i="3"/>
  <c r="D61" i="3"/>
  <c r="C61" i="3"/>
  <c r="U61" i="3" s="1"/>
  <c r="T60" i="3"/>
  <c r="F60" i="3"/>
  <c r="E60" i="3"/>
  <c r="D60" i="3"/>
  <c r="C60" i="3"/>
  <c r="U60" i="3" s="1"/>
  <c r="T59" i="3"/>
  <c r="E59" i="3"/>
  <c r="G59" i="3" s="1"/>
  <c r="H59" i="3" s="1"/>
  <c r="D59" i="3"/>
  <c r="C59" i="3"/>
  <c r="T58" i="3"/>
  <c r="E58" i="3"/>
  <c r="D58" i="3"/>
  <c r="C58" i="3"/>
  <c r="T57" i="3"/>
  <c r="E57" i="3"/>
  <c r="D57" i="3"/>
  <c r="C57" i="3"/>
  <c r="U57" i="3" s="1"/>
  <c r="T56" i="3"/>
  <c r="F56" i="3"/>
  <c r="E56" i="3"/>
  <c r="D56" i="3"/>
  <c r="C56" i="3"/>
  <c r="U56" i="3" s="1"/>
  <c r="U55" i="3"/>
  <c r="T55" i="3"/>
  <c r="E55" i="3"/>
  <c r="D55" i="3"/>
  <c r="C55" i="3"/>
  <c r="U54" i="3"/>
  <c r="T54" i="3"/>
  <c r="E54" i="3"/>
  <c r="F54" i="3" s="1"/>
  <c r="D54" i="3"/>
  <c r="C54" i="3"/>
  <c r="T53" i="3"/>
  <c r="E53" i="3"/>
  <c r="D53" i="3"/>
  <c r="C53" i="3"/>
  <c r="U53" i="3" s="1"/>
  <c r="T52" i="3"/>
  <c r="F52" i="3"/>
  <c r="E52" i="3"/>
  <c r="D52" i="3"/>
  <c r="C52" i="3"/>
  <c r="U52" i="3" s="1"/>
  <c r="U51" i="3"/>
  <c r="T51" i="3"/>
  <c r="F51" i="3"/>
  <c r="E51" i="3"/>
  <c r="D51" i="3"/>
  <c r="C51" i="3"/>
  <c r="T50" i="3"/>
  <c r="E50" i="3"/>
  <c r="D50" i="3"/>
  <c r="C50" i="3"/>
  <c r="T49" i="3"/>
  <c r="E49" i="3"/>
  <c r="D49" i="3"/>
  <c r="C49" i="3"/>
  <c r="U49" i="3" s="1"/>
  <c r="T48" i="3"/>
  <c r="F48" i="3"/>
  <c r="E48" i="3"/>
  <c r="D48" i="3"/>
  <c r="C48" i="3"/>
  <c r="U70" i="3" s="1"/>
  <c r="U47" i="3"/>
  <c r="T47" i="3"/>
  <c r="E47" i="3"/>
  <c r="D47" i="3"/>
  <c r="C47" i="3"/>
  <c r="U46" i="3"/>
  <c r="T46" i="3"/>
  <c r="E46" i="3"/>
  <c r="D46" i="3"/>
  <c r="C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A20" i="3"/>
  <c r="T19" i="3"/>
  <c r="T18" i="3"/>
  <c r="T17" i="3"/>
  <c r="T16" i="3"/>
  <c r="T15" i="3"/>
  <c r="T14" i="3"/>
  <c r="C14" i="3"/>
  <c r="T13" i="3"/>
  <c r="A32" i="3" s="1"/>
  <c r="T12" i="3"/>
  <c r="T11" i="3"/>
  <c r="T10" i="3"/>
  <c r="B10" i="3"/>
  <c r="T9" i="3"/>
  <c r="T8" i="3"/>
  <c r="T7" i="3"/>
  <c r="B7" i="3"/>
  <c r="B11" i="3" s="1"/>
  <c r="T6" i="3"/>
  <c r="B6" i="3"/>
  <c r="B9" i="3" s="1"/>
  <c r="T5" i="3"/>
  <c r="B5" i="3"/>
  <c r="B8" i="3" s="1"/>
  <c r="T4" i="3"/>
  <c r="E39" i="3" s="1"/>
  <c r="T3" i="3"/>
  <c r="T2" i="3"/>
  <c r="F28" i="3" l="1"/>
  <c r="G67" i="3"/>
  <c r="H67" i="3" s="1"/>
  <c r="U71" i="3"/>
  <c r="U93" i="3"/>
  <c r="G28" i="3"/>
  <c r="G50" i="3"/>
  <c r="H50" i="3" s="1"/>
  <c r="F50" i="3"/>
  <c r="U59" i="3"/>
  <c r="F67" i="3"/>
  <c r="G90" i="3"/>
  <c r="H90" i="3" s="1"/>
  <c r="F90" i="3"/>
  <c r="A21" i="3"/>
  <c r="A23" i="3"/>
  <c r="A27" i="3"/>
  <c r="A35" i="3"/>
  <c r="G75" i="3"/>
  <c r="H75" i="3" s="1"/>
  <c r="U79" i="3"/>
  <c r="G91" i="3"/>
  <c r="H91" i="3" s="1"/>
  <c r="B41" i="3"/>
  <c r="A39" i="3"/>
  <c r="E22" i="3"/>
  <c r="E26" i="3"/>
  <c r="E30" i="3"/>
  <c r="E34" i="3"/>
  <c r="F36" i="3"/>
  <c r="E38" i="3"/>
  <c r="G79" i="3"/>
  <c r="H79" i="3" s="1"/>
  <c r="F79" i="3"/>
  <c r="U84" i="3"/>
  <c r="G24" i="3"/>
  <c r="G36" i="3"/>
  <c r="U91" i="3"/>
  <c r="G47" i="3"/>
  <c r="H47" i="3" s="1"/>
  <c r="F47" i="3"/>
  <c r="G87" i="3"/>
  <c r="H87" i="3" s="1"/>
  <c r="F87" i="3"/>
  <c r="C110" i="3"/>
  <c r="H152" i="3"/>
  <c r="D21" i="3"/>
  <c r="E23" i="3"/>
  <c r="B25" i="3"/>
  <c r="E27" i="3"/>
  <c r="B29" i="3"/>
  <c r="E31" i="3"/>
  <c r="B33" i="3"/>
  <c r="E35" i="3"/>
  <c r="B37" i="3"/>
  <c r="F39" i="3"/>
  <c r="G55" i="3"/>
  <c r="H55" i="3" s="1"/>
  <c r="F55" i="3"/>
  <c r="G66" i="3"/>
  <c r="H66" i="3" s="1"/>
  <c r="F66" i="3"/>
  <c r="F75" i="3"/>
  <c r="U80" i="3"/>
  <c r="C117" i="3"/>
  <c r="H144" i="3"/>
  <c r="H145" i="3"/>
  <c r="A24" i="3"/>
  <c r="A28" i="3"/>
  <c r="A36" i="3"/>
  <c r="U76" i="3"/>
  <c r="C124" i="3" s="1"/>
  <c r="E20" i="3"/>
  <c r="F24" i="3"/>
  <c r="F32" i="3"/>
  <c r="B24" i="5"/>
  <c r="D25" i="5" s="1"/>
  <c r="C191" i="3"/>
  <c r="C194" i="3"/>
  <c r="C193" i="3"/>
  <c r="E21" i="3"/>
  <c r="F23" i="3"/>
  <c r="C25" i="3"/>
  <c r="F27" i="3"/>
  <c r="C29" i="3"/>
  <c r="F31" i="3"/>
  <c r="C33" i="3"/>
  <c r="F35" i="3"/>
  <c r="C37" i="3"/>
  <c r="C113" i="3"/>
  <c r="G63" i="3"/>
  <c r="H63" i="3" s="1"/>
  <c r="F63" i="3"/>
  <c r="U77" i="3"/>
  <c r="G83" i="3"/>
  <c r="H83" i="3" s="1"/>
  <c r="G95" i="3"/>
  <c r="H95" i="3" s="1"/>
  <c r="F95" i="3"/>
  <c r="G71" i="3"/>
  <c r="H71" i="3" s="1"/>
  <c r="F71" i="3"/>
  <c r="G32" i="3"/>
  <c r="A31" i="3"/>
  <c r="G58" i="3"/>
  <c r="H58" i="3" s="1"/>
  <c r="F58" i="3"/>
  <c r="G25" i="3"/>
  <c r="G29" i="3"/>
  <c r="G33" i="3"/>
  <c r="G37" i="3"/>
  <c r="G46" i="3"/>
  <c r="U48" i="3"/>
  <c r="U58" i="3"/>
  <c r="C122" i="3" s="1"/>
  <c r="U50" i="3"/>
  <c r="C133" i="3" s="1"/>
  <c r="G51" i="3"/>
  <c r="H51" i="3" s="1"/>
  <c r="G74" i="3"/>
  <c r="H74" i="3" s="1"/>
  <c r="F74" i="3"/>
  <c r="U78" i="3"/>
  <c r="C112" i="3"/>
  <c r="D171" i="3"/>
  <c r="D170" i="3"/>
  <c r="A22" i="3"/>
  <c r="H149" i="3"/>
  <c r="H151" i="3"/>
  <c r="C192" i="3"/>
  <c r="D20" i="3"/>
  <c r="D22" i="3"/>
  <c r="B24" i="3"/>
  <c r="C26" i="3"/>
  <c r="B28" i="3"/>
  <c r="C30" i="3"/>
  <c r="B32" i="3"/>
  <c r="C34" i="3"/>
  <c r="B36" i="3"/>
  <c r="C38" i="3"/>
  <c r="C118" i="3"/>
  <c r="C119" i="3"/>
  <c r="C123" i="3"/>
  <c r="F59" i="3"/>
  <c r="G82" i="3"/>
  <c r="H82" i="3" s="1"/>
  <c r="F82" i="3"/>
  <c r="U86" i="3"/>
  <c r="F91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F20" i="3"/>
  <c r="F21" i="3"/>
  <c r="F22" i="3"/>
  <c r="G23" i="3"/>
  <c r="A26" i="3"/>
  <c r="B27" i="3"/>
  <c r="C28" i="3"/>
  <c r="E29" i="3"/>
  <c r="F30" i="3"/>
  <c r="G31" i="3"/>
  <c r="A34" i="3"/>
  <c r="B35" i="3"/>
  <c r="C36" i="3"/>
  <c r="E37" i="3"/>
  <c r="F38" i="3"/>
  <c r="G39" i="3"/>
  <c r="G49" i="3"/>
  <c r="H49" i="3" s="1"/>
  <c r="G57" i="3"/>
  <c r="H57" i="3" s="1"/>
  <c r="G65" i="3"/>
  <c r="H65" i="3" s="1"/>
  <c r="G73" i="3"/>
  <c r="H73" i="3" s="1"/>
  <c r="G81" i="3"/>
  <c r="H81" i="3" s="1"/>
  <c r="G89" i="3"/>
  <c r="H89" i="3" s="1"/>
  <c r="D27" i="5"/>
  <c r="D31" i="5"/>
  <c r="D35" i="5"/>
  <c r="G20" i="3"/>
  <c r="G21" i="3"/>
  <c r="G22" i="3"/>
  <c r="A25" i="3"/>
  <c r="B26" i="3"/>
  <c r="C27" i="3"/>
  <c r="E28" i="3"/>
  <c r="F29" i="3"/>
  <c r="G30" i="3"/>
  <c r="A33" i="3"/>
  <c r="B34" i="3"/>
  <c r="C35" i="3"/>
  <c r="E36" i="3"/>
  <c r="F37" i="3"/>
  <c r="G38" i="3"/>
  <c r="G48" i="3"/>
  <c r="H48" i="3" s="1"/>
  <c r="F49" i="3"/>
  <c r="G56" i="3"/>
  <c r="H56" i="3" s="1"/>
  <c r="F57" i="3"/>
  <c r="G64" i="3"/>
  <c r="H64" i="3" s="1"/>
  <c r="F65" i="3"/>
  <c r="G72" i="3"/>
  <c r="H72" i="3" s="1"/>
  <c r="F73" i="3"/>
  <c r="G80" i="3"/>
  <c r="H80" i="3" s="1"/>
  <c r="F81" i="3"/>
  <c r="G88" i="3"/>
  <c r="H88" i="3" s="1"/>
  <c r="F89" i="3"/>
  <c r="G62" i="3"/>
  <c r="H62" i="3" s="1"/>
  <c r="G70" i="3"/>
  <c r="H70" i="3" s="1"/>
  <c r="G78" i="3"/>
  <c r="H78" i="3" s="1"/>
  <c r="G86" i="3"/>
  <c r="H86" i="3" s="1"/>
  <c r="G94" i="3"/>
  <c r="H94" i="3" s="1"/>
  <c r="B22" i="3"/>
  <c r="C24" i="3"/>
  <c r="F26" i="3"/>
  <c r="C32" i="3"/>
  <c r="F34" i="3"/>
  <c r="A38" i="3"/>
  <c r="G53" i="3"/>
  <c r="H53" i="3" s="1"/>
  <c r="F70" i="3"/>
  <c r="G77" i="3"/>
  <c r="H77" i="3" s="1"/>
  <c r="F78" i="3"/>
  <c r="G93" i="3"/>
  <c r="H93" i="3" s="1"/>
  <c r="D33" i="5"/>
  <c r="G54" i="3"/>
  <c r="H54" i="3" s="1"/>
  <c r="B20" i="3"/>
  <c r="B21" i="3"/>
  <c r="B23" i="3"/>
  <c r="E25" i="3"/>
  <c r="G27" i="3"/>
  <c r="A30" i="3"/>
  <c r="B31" i="3"/>
  <c r="E33" i="3"/>
  <c r="G35" i="3"/>
  <c r="B39" i="3"/>
  <c r="F46" i="3"/>
  <c r="G61" i="3"/>
  <c r="H61" i="3" s="1"/>
  <c r="F62" i="3"/>
  <c r="G69" i="3"/>
  <c r="H69" i="3" s="1"/>
  <c r="G85" i="3"/>
  <c r="H85" i="3" s="1"/>
  <c r="F86" i="3"/>
  <c r="C111" i="3"/>
  <c r="H155" i="3"/>
  <c r="D29" i="5"/>
  <c r="C20" i="3"/>
  <c r="C21" i="3"/>
  <c r="C22" i="3"/>
  <c r="C23" i="3"/>
  <c r="E24" i="3"/>
  <c r="F25" i="3"/>
  <c r="G26" i="3"/>
  <c r="A29" i="3"/>
  <c r="B30" i="3"/>
  <c r="C31" i="3"/>
  <c r="E32" i="3"/>
  <c r="F33" i="3"/>
  <c r="G34" i="3"/>
  <c r="A37" i="3"/>
  <c r="B38" i="3"/>
  <c r="C39" i="3"/>
  <c r="G52" i="3"/>
  <c r="H52" i="3" s="1"/>
  <c r="F53" i="3"/>
  <c r="G60" i="3"/>
  <c r="H60" i="3" s="1"/>
  <c r="F61" i="3"/>
  <c r="G68" i="3"/>
  <c r="H68" i="3" s="1"/>
  <c r="F69" i="3"/>
  <c r="G76" i="3"/>
  <c r="H76" i="3" s="1"/>
  <c r="F77" i="3"/>
  <c r="G84" i="3"/>
  <c r="H84" i="3" s="1"/>
  <c r="F85" i="3"/>
  <c r="G92" i="3"/>
  <c r="H92" i="3" s="1"/>
  <c r="F93" i="3"/>
  <c r="C131" i="3" l="1"/>
  <c r="C120" i="3"/>
  <c r="C135" i="3"/>
  <c r="C121" i="3"/>
  <c r="C126" i="3"/>
  <c r="C132" i="3"/>
  <c r="C128" i="3"/>
  <c r="C134" i="3"/>
  <c r="C127" i="3"/>
  <c r="C129" i="3"/>
  <c r="A126" i="3"/>
  <c r="A117" i="3"/>
  <c r="H46" i="3"/>
  <c r="A119" i="3"/>
  <c r="A121" i="3"/>
  <c r="A125" i="3"/>
  <c r="E125" i="3" s="1"/>
  <c r="A118" i="3"/>
  <c r="A120" i="3"/>
  <c r="A123" i="3"/>
  <c r="A122" i="3"/>
  <c r="A124" i="3"/>
  <c r="C130" i="3"/>
  <c r="C125" i="3"/>
  <c r="C136" i="3"/>
  <c r="E119" i="3" l="1"/>
  <c r="E124" i="3"/>
  <c r="E121" i="3"/>
  <c r="E122" i="3"/>
  <c r="E117" i="3"/>
  <c r="E126" i="3"/>
  <c r="E123" i="3"/>
  <c r="E120" i="3"/>
  <c r="E118" i="3"/>
</calcChain>
</file>

<file path=xl/sharedStrings.xml><?xml version="1.0" encoding="utf-8"?>
<sst xmlns="http://schemas.openxmlformats.org/spreadsheetml/2006/main" count="2551" uniqueCount="503">
  <si>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</si>
  <si>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</si>
  <si>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</si>
  <si>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</si>
  <si>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</si>
  <si>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</si>
  <si>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</si>
  <si>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</si>
  <si>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</si>
  <si>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</si>
  <si>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</si>
  <si>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</si>
  <si>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</si>
  <si>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</si>
  <si>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</si>
  <si>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</si>
  <si>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</si>
  <si>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</si>
  <si>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</si>
  <si>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</si>
  <si>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</si>
  <si>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</si>
  <si>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</si>
  <si>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</si>
  <si>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</si>
  <si>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</si>
  <si>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</si>
  <si>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</si>
  <si>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</si>
  <si>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</si>
  <si>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</si>
  <si>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</si>
  <si>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</si>
  <si>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</si>
  <si>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</si>
  <si>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</si>
  <si>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</si>
  <si>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</si>
  <si>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</si>
  <si>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</si>
  <si>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</si>
  <si>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</si>
  <si>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</si>
  <si>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</si>
  <si>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</si>
  <si>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</si>
  <si>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</si>
  <si>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</si>
  <si>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</si>
  <si>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</si>
  <si>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</si>
  <si>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</si>
  <si>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</si>
  <si>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</si>
  <si>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</si>
  <si>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</si>
  <si>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</si>
  <si>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</si>
  <si>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</si>
  <si>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</si>
  <si>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</si>
  <si>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</si>
  <si>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</si>
  <si>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</si>
  <si>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</si>
  <si>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</si>
  <si>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</si>
  <si>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</si>
  <si>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</si>
  <si>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</si>
  <si>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</si>
  <si>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</si>
  <si>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</si>
  <si>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</si>
  <si>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</si>
  <si>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</si>
  <si>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</si>
  <si>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</si>
  <si>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</si>
  <si>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</si>
  <si>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</si>
  <si>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</si>
  <si>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</si>
  <si>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</si>
  <si>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</si>
  <si>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</si>
  <si>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</si>
  <si>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</si>
  <si>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</si>
  <si>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</si>
  <si>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</si>
  <si>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</si>
  <si>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</si>
  <si>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</si>
  <si>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</si>
  <si>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</si>
  <si>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</si>
  <si>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</si>
  <si>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</si>
  <si>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</si>
  <si>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</si>
  <si>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</si>
  <si>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</si>
  <si>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</si>
  <si>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</si>
  <si>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</si>
  <si>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</si>
  <si>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</si>
  <si>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</si>
  <si>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</si>
  <si>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</si>
  <si>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</si>
  <si>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</si>
  <si>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</si>
  <si>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</si>
  <si>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</si>
  <si>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</si>
  <si>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</si>
  <si>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</si>
  <si>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</si>
  <si>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</si>
  <si>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</si>
  <si>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</si>
  <si>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</si>
  <si>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</si>
  <si>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</si>
  <si>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</si>
  <si>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</si>
  <si>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</si>
  <si>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</si>
  <si>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</si>
  <si>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</si>
  <si>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</si>
  <si>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</si>
  <si>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</si>
  <si>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</si>
  <si>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</si>
  <si>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</si>
  <si>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</si>
  <si>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</si>
  <si>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</si>
  <si>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</si>
  <si>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</si>
  <si>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</si>
  <si>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</si>
  <si>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</si>
  <si>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</si>
  <si>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</si>
  <si>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</si>
  <si>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</si>
  <si>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</si>
  <si>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</si>
  <si>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</si>
  <si>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</si>
  <si>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</si>
  <si>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</si>
  <si>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</si>
  <si>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</si>
  <si>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</si>
  <si>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</si>
  <si>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</si>
  <si>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</si>
  <si>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</si>
  <si>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</si>
  <si>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</si>
  <si>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</si>
  <si>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</si>
  <si>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</si>
  <si>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</si>
  <si>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</si>
  <si>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</si>
  <si>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</si>
  <si>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</si>
  <si>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</si>
  <si>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</si>
  <si>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</si>
  <si>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</si>
  <si>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</si>
  <si>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</si>
  <si>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</si>
  <si>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</si>
  <si>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</si>
  <si>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</si>
  <si>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</si>
  <si>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</si>
  <si>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</si>
  <si>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</si>
  <si>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</si>
  <si>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</si>
  <si>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</si>
  <si>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</si>
  <si>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</si>
  <si>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</si>
  <si>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</si>
  <si>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</si>
  <si>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</si>
  <si>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</si>
  <si>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</si>
  <si>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</si>
  <si>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</si>
  <si>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</si>
  <si>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</si>
  <si>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</si>
  <si>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</si>
  <si>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</si>
  <si>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</si>
  <si>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</si>
  <si>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</si>
  <si>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</si>
  <si>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</si>
  <si>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</si>
  <si>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</si>
  <si>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</si>
  <si>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</si>
  <si>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</si>
  <si>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</si>
  <si>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</si>
  <si>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</si>
  <si>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</si>
  <si>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</si>
  <si>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</si>
  <si>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</si>
  <si>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</si>
  <si>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</si>
  <si>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</si>
  <si>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</si>
  <si>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</si>
  <si>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</si>
  <si>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</si>
  <si>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</si>
  <si>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</si>
  <si>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</si>
  <si>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</si>
  <si>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</si>
  <si>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</si>
  <si>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</si>
  <si>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</si>
  <si>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</si>
  <si>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</si>
  <si>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</si>
  <si>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</si>
  <si>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</si>
  <si>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</si>
  <si>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</si>
  <si>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</si>
  <si>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</si>
  <si>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</si>
  <si>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</si>
  <si>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</si>
  <si>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</si>
  <si>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</si>
  <si>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</si>
  <si>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</si>
  <si>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</si>
  <si>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</si>
  <si>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</si>
  <si>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</si>
  <si>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</si>
  <si>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</si>
  <si>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</si>
  <si>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</si>
  <si>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</si>
  <si>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</si>
  <si>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</si>
  <si>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</si>
  <si>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</si>
  <si>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</si>
  <si>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</si>
  <si>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</si>
  <si>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</si>
  <si>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</si>
  <si>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</si>
  <si>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</si>
  <si>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</si>
  <si>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</si>
  <si>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</si>
  <si>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</si>
  <si>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</si>
  <si>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</si>
  <si>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</si>
  <si>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</si>
  <si>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</si>
  <si>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</si>
  <si>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</si>
  <si>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</si>
  <si>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</si>
  <si>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</si>
  <si>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</si>
  <si>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</si>
  <si>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</si>
  <si>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</si>
  <si>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</si>
  <si>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</si>
  <si>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</si>
  <si>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</si>
  <si>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</si>
  <si>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</si>
  <si>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</si>
  <si>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</si>
  <si>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</si>
  <si>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</si>
  <si>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</si>
  <si>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</si>
  <si>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</si>
  <si>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</si>
  <si>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</si>
  <si>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</si>
  <si>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</si>
  <si>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</si>
  <si>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</si>
  <si>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</si>
  <si>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</si>
  <si>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</si>
  <si>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</si>
  <si>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</si>
  <si>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</si>
  <si>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</si>
  <si>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</si>
  <si>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</si>
  <si>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</si>
  <si>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</si>
  <si>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</si>
  <si>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</si>
  <si>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</si>
  <si>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</si>
  <si>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</si>
  <si>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</si>
  <si>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</si>
  <si>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</si>
  <si>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</si>
  <si>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</si>
  <si>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</si>
  <si>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</si>
  <si>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</si>
  <si>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</si>
  <si>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</si>
  <si>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</si>
  <si>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</si>
  <si>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</si>
  <si>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</si>
  <si>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</si>
  <si>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</si>
  <si>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</si>
  <si>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</si>
  <si>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</si>
  <si>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</si>
  <si>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</si>
  <si>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</si>
  <si>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</si>
  <si>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</si>
  <si>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</si>
  <si>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</si>
  <si>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</si>
  <si>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</si>
  <si>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</si>
  <si>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</si>
  <si>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</si>
  <si>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</si>
  <si>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</si>
  <si>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</si>
  <si>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</si>
  <si>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</si>
  <si>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</si>
  <si>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</si>
  <si>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</si>
  <si>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</si>
  <si>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</si>
  <si>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</si>
  <si>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</si>
  <si>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</si>
  <si>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</si>
  <si>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</si>
  <si>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</si>
  <si>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</si>
  <si>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</si>
  <si>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</si>
  <si>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</si>
  <si>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</si>
  <si>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</si>
  <si>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</si>
  <si>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</si>
  <si>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</si>
  <si>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</si>
  <si>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</si>
  <si>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</si>
  <si>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</si>
  <si>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</si>
  <si>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</si>
  <si>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</si>
  <si>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</si>
  <si>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</si>
  <si>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</si>
  <si>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</si>
  <si>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</si>
  <si>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</si>
  <si>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</si>
  <si>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</si>
  <si>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</si>
  <si>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</si>
  <si>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Data Intelligence Dashboard — Analysis</t>
  </si>
  <si>
    <t>A. Date &amp; Time Intelligence</t>
  </si>
  <si>
    <t>Report Generated (NOW)</t>
  </si>
  <si>
    <t>Report Date (TODAY)</t>
  </si>
  <si>
    <t>First Transaction Date (MIN)</t>
  </si>
  <si>
    <t>Last Transaction Date (MAX)</t>
  </si>
  <si>
    <t>Days Since Last Transaction (DATEDIF)</t>
  </si>
  <si>
    <t>Data Collection Span (Months, DATEDIF)</t>
  </si>
  <si>
    <t>End of Month — Last Transaction (EOMONTH)</t>
  </si>
  <si>
    <t>Next Reporting Month End (EOMONTH+1)</t>
  </si>
  <si>
    <t>Change-Log Timestamp Demo (iterative calc)</t>
  </si>
  <si>
    <t>Type anything here →</t>
  </si>
  <si>
    <t>← timestamp locks the instant B is first filled in (Iterative Calculation is enabled in this workbook: File &gt; Options &gt; Formulas &gt; Enable iterative calculation)</t>
  </si>
  <si>
    <t>B. Multi-Value Search — Extract All Matching Transactions (FILTER-style)</t>
  </si>
  <si>
    <t>Category:</t>
  </si>
  <si>
    <t>Region:</t>
  </si>
  <si>
    <t>Min Amount ($):</t>
  </si>
  <si>
    <t>← change any yellow cell; the list below refreshes automatically (equivalent to Excel's dynamic FILTER function)</t>
  </si>
  <si>
    <t>Match count:</t>
  </si>
  <si>
    <t>C. High-Value Customers — Grouped by Customer (SUMIFS / COUNTIFS / RANK)</t>
  </si>
  <si>
    <t>Segment</t>
  </si>
  <si>
    <t>Transactions</t>
  </si>
  <si>
    <t>Total Spent</t>
  </si>
  <si>
    <t>Avg Order Value</t>
  </si>
  <si>
    <t>Rank</t>
  </si>
  <si>
    <t>Top 10 Flag</t>
  </si>
  <si>
    <t>PremRank(helper)</t>
  </si>
  <si>
    <t>D. Most Frequently Purchased Product &amp; Repeat Customers</t>
  </si>
  <si>
    <t>Times Purchased</t>
  </si>
  <si>
    <t>Units Sold</t>
  </si>
  <si>
    <t>Revenue</t>
  </si>
  <si>
    <t>Most Frequently Purchased Product:</t>
  </si>
  <si>
    <t>Highest-Revenue Product:</t>
  </si>
  <si>
    <t>Most Frequent Repeat Customer (by # transactions):</t>
  </si>
  <si>
    <t xml:space="preserve">  → that customer's transaction count:</t>
  </si>
  <si>
    <t>E. Compare Two Lists — Customers who are BOTH 'Top 10 by Spend' AND 'Premium Segment'</t>
  </si>
  <si>
    <t>List 1: Top 10 by Spend</t>
  </si>
  <si>
    <t>List 2: Premium Segment</t>
  </si>
  <si>
    <t>In Both Lists (Match)</t>
  </si>
  <si>
    <t>Match logic: COUNTIF(List2, List1 value) &gt; 0  — classic two-list comparison without VLOOKUP.</t>
  </si>
  <si>
    <t>F. Abbreviations Built with TEXT Functions (sample of first 15 transactions)</t>
  </si>
  <si>
    <t>Customer_Initials</t>
  </si>
  <si>
    <t>Region_Code</t>
  </si>
  <si>
    <t>Product_Code</t>
  </si>
  <si>
    <t>Short_Label</t>
  </si>
  <si>
    <t>G. What-If Analysis — Scenario Modeling &amp; Goal Seek</t>
  </si>
  <si>
    <t>Current Total Revenue:</t>
  </si>
  <si>
    <t>Price Increase % (editable input):</t>
  </si>
  <si>
    <t>Quantity/Demand Growth % (editable input):</t>
  </si>
  <si>
    <t>Projected Revenue (Goal Seek target cell):</t>
  </si>
  <si>
    <t>Revenue Growth vs Current:</t>
  </si>
  <si>
    <t>HOW TO RUN GOAL SEEK IN EXCEL: Data tab → What-If Analysis → Goal Seek. Set cell: C163  |  To value: (your target revenue, e.g. 250000)  |  By changing cell: C161 (Price Increase %). Excel will solve for the required price increase.</t>
  </si>
  <si>
    <t>Scenario</t>
  </si>
  <si>
    <t>Price Increase %</t>
  </si>
  <si>
    <t>Qty Growth %</t>
  </si>
  <si>
    <t>Projected Revenue</t>
  </si>
  <si>
    <t>Worst Case</t>
  </si>
  <si>
    <t>Base Case</t>
  </si>
  <si>
    <t>Best Case</t>
  </si>
  <si>
    <t>TO BUILD LIVE SCENARIOS IN EXCEL: Data tab → What-If Analysis → Scenario Manager → Add. Changing cells: C161,C162. Use the % values in the table above for each scenario, then set Result cell to C163 and click Summary for a side-by-side report.</t>
  </si>
  <si>
    <t>H. Linear Regression — Monthly Revenue Trend (SLOPE / INTERCEPT / RSQ / TREND)</t>
  </si>
  <si>
    <t>Month</t>
  </si>
  <si>
    <t>Month_Index (x)</t>
  </si>
  <si>
    <t>Revenue (y)</t>
  </si>
  <si>
    <t>Slope (SLOPE):</t>
  </si>
  <si>
    <t>Intercept (INTERCEPT):</t>
  </si>
  <si>
    <t>R² (RSQ, goodness of fit):</t>
  </si>
  <si>
    <t>Next Month Forecast (TREND):</t>
  </si>
  <si>
    <t>For the full Data Analysis ToolPak output (ANOVA table, standard errors, confidence intervals): enable it once via File → Options → Add-ins → Manage Excel Add-ins → check 'Analysis ToolPak', then Data → Data Analysis → Regression, with Y Range = C177:C189 and X Range = B177:B189. The SLOPE/INTERCEPT/RSQ/TREND formulas above give the same core regression result natively.</t>
  </si>
  <si>
    <t>Visualizations — Pivot-style Charts &amp; PivotTable Setup Guide</t>
  </si>
  <si>
    <t>Revenue by Payment Method</t>
  </si>
  <si>
    <t>Revenue by Customer Segment</t>
  </si>
  <si>
    <t>Product Revenue (all 10 products, sorted by ID)</t>
  </si>
  <si>
    <t>Product</t>
  </si>
  <si>
    <t>Build a Native Excel PivotTable + Slicers + Timeline (manual, one-time setup)</t>
  </si>
  <si>
    <t>1. Click any cell inside the 'RawData' table on the 'Raw Data' sheet.</t>
  </si>
  <si>
    <t>2. Insert → PivotTable → New Worksheet. Excel auto-detects the RawData table as the source.</t>
  </si>
  <si>
    <t>3. Drag 'Region' or 'Category' to Rows, 'Total_Amount' to Values (Sum), 'Product_Name' to Columns for a cross-tab.</t>
  </si>
  <si>
    <t>4. PivotTable Analyze tab → Insert Slicer → tick Region, Category, Customer_Segment, Payment_Method.</t>
  </si>
  <si>
    <t>5. PivotTable Analyze tab → Insert Timeline → tick Date — gives a drag-to-filter month/quarter/year control.</t>
  </si>
  <si>
    <t>6. Insert → PivotChart (or select the PivotTable → Insert → Recommended Charts) for a chart that filters live with the slicers/timeline.</t>
  </si>
  <si>
    <t>7. Arrange the Slicers, Timeline, and PivotChart together on a new 'Live Dashboard' tab for a fully interactive slicer-driven view.</t>
  </si>
  <si>
    <t>Why manual: real Excel PivotTables/Slicers/Timelines are stored as live cache + UI objects that only Excel's own engine can (re)build safely; the summary tables and charts above already give you the same insights and refresh automatically from formulas, no PivotTable required.</t>
  </si>
  <si>
    <t>Customer Transactions — Data Intelligence Dashboard</t>
  </si>
  <si>
    <t>Total Revenue</t>
  </si>
  <si>
    <t>Total Transactions</t>
  </si>
  <si>
    <t>Unique Customers</t>
  </si>
  <si>
    <t>Total Units Sold</t>
  </si>
  <si>
    <t>Top Region</t>
  </si>
  <si>
    <t>Interactive Filter Panel (Slicer-style) — pick Region / Category / Month to update the KPIs below</t>
  </si>
  <si>
    <t>All</t>
  </si>
  <si>
    <t>Segment:</t>
  </si>
  <si>
    <t>Filtered Revenue:</t>
  </si>
  <si>
    <t>Filtered Transactions:</t>
  </si>
  <si>
    <t>Revenue by Region (Pivot-style Summary)</t>
  </si>
  <si>
    <t>Revenue Share by Category</t>
  </si>
  <si>
    <t>Revenue Trend by Month</t>
  </si>
  <si>
    <t>KPI vs Target</t>
  </si>
  <si>
    <t>MoM Growth %</t>
  </si>
  <si>
    <t>KPI</t>
  </si>
  <si>
    <t>Actual</t>
  </si>
  <si>
    <t>Target</t>
  </si>
  <si>
    <t>% of Target</t>
  </si>
  <si>
    <t>Target values above are illustrative planning benchmarks (documented here, not sourced externally) — replace with your actual targets. Charts and the real Excel PivotTable/Slicer/Timeline setup are on the 'Visualizations' sheet and the ReadMe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</si>
</sst>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\$#,##0.00"/>
    <numFmt numFmtId="166" formatCode="mm/dd/yyyy\ hh:mm:ss"/>
    <numFmt numFmtId="167" formatCode="\$#,##0"/>
    <numFmt numFmtId="168" formatCode="0.0%"/>
    <numFmt numFmtId="169" formatCode="mmm\-yyyy"/>
    <numFmt numFmtId="170" formatCode="0.000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1F4E78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1"/>
      <color rgb="FFC00000"/>
      <name val="Arial"/>
      <charset val="1"/>
    </font>
    <font>
      <b/>
      <sz val="10"/>
      <color rgb="FF006100"/>
      <name val="Arial"/>
      <charset val="1"/>
    </font>
    <font>
      <b/>
      <sz val="18"/>
      <color rgb="FF1F4E78"/>
      <name val="Arial"/>
      <charset val="1"/>
    </font>
    <font>
      <b/>
      <sz val="10"/>
      <color rgb="FF1F4E78"/>
      <name val="Arial"/>
      <charset val="1"/>
    </font>
    <font>
      <b/>
      <sz val="12"/>
      <color rgb="FFC00000"/>
      <name val="Arial"/>
      <charset val="1"/>
    </font>
    <font>
      <b/>
      <sz val="16"/>
      <color theme="1"/>
      <name val="Arial"/>
      <family val="2"/>
    </font>
    <font>
      <b/>
      <sz val="18"/>
      <color rgb="FF1F4E78"/>
      <name val="Arial"/>
      <family val="2"/>
    </font>
    <font>
      <b/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6" fillId="0" borderId="0" xfId="0" applyFont="1"/>
    <xf numFmtId="0" fontId="1" fillId="3" borderId="0" xfId="0" applyFont="1" applyFill="1" applyAlignment="1">
      <alignment horizontal="center" vertical="center"/>
    </xf>
    <xf numFmtId="165" fontId="2" fillId="0" borderId="0" xfId="0" applyNumberFormat="1" applyFont="1"/>
    <xf numFmtId="0" fontId="5" fillId="0" borderId="0" xfId="0" applyFont="1"/>
    <xf numFmtId="166" fontId="2" fillId="0" borderId="1" xfId="0" applyNumberFormat="1" applyFont="1" applyBorder="1"/>
    <xf numFmtId="164" fontId="2" fillId="0" borderId="1" xfId="0" applyNumberFormat="1" applyFont="1" applyBorder="1"/>
    <xf numFmtId="1" fontId="2" fillId="0" borderId="1" xfId="0" applyNumberFormat="1" applyFont="1" applyBorder="1"/>
    <xf numFmtId="0" fontId="0" fillId="4" borderId="0" xfId="0" applyFill="1"/>
    <xf numFmtId="166" fontId="0" fillId="0" borderId="0" xfId="0" applyNumberFormat="1"/>
    <xf numFmtId="0" fontId="7" fillId="4" borderId="0" xfId="0" applyFont="1" applyFill="1"/>
    <xf numFmtId="167" fontId="7" fillId="4" borderId="0" xfId="0" applyNumberFormat="1" applyFont="1" applyFill="1"/>
    <xf numFmtId="0" fontId="8" fillId="3" borderId="0" xfId="0" applyFont="1" applyFill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9" fillId="0" borderId="0" xfId="0" applyFont="1"/>
    <xf numFmtId="0" fontId="8" fillId="3" borderId="0" xfId="0" applyFont="1" applyFill="1"/>
    <xf numFmtId="0" fontId="10" fillId="0" borderId="1" xfId="0" applyFont="1" applyBorder="1" applyAlignment="1">
      <alignment horizontal="center"/>
    </xf>
    <xf numFmtId="168" fontId="7" fillId="4" borderId="0" xfId="0" applyNumberFormat="1" applyFont="1" applyFill="1"/>
    <xf numFmtId="165" fontId="9" fillId="0" borderId="0" xfId="0" applyNumberFormat="1" applyFont="1"/>
    <xf numFmtId="168" fontId="2" fillId="0" borderId="0" xfId="0" applyNumberFormat="1" applyFont="1"/>
    <xf numFmtId="168" fontId="2" fillId="0" borderId="1" xfId="0" applyNumberFormat="1" applyFont="1" applyBorder="1"/>
    <xf numFmtId="169" fontId="2" fillId="0" borderId="1" xfId="0" applyNumberFormat="1" applyFont="1" applyBorder="1"/>
    <xf numFmtId="170" fontId="2" fillId="0" borderId="0" xfId="0" applyNumberFormat="1" applyFont="1"/>
    <xf numFmtId="167" fontId="2" fillId="0" borderId="1" xfId="0" applyNumberFormat="1" applyFont="1" applyBorder="1"/>
    <xf numFmtId="165" fontId="13" fillId="0" borderId="0" xfId="0" applyNumberFormat="1" applyFont="1"/>
    <xf numFmtId="0" fontId="13" fillId="0" borderId="0" xfId="0" applyFont="1"/>
    <xf numFmtId="9" fontId="2" fillId="0" borderId="1" xfId="0" applyNumberFormat="1" applyFont="1" applyBorder="1"/>
    <xf numFmtId="3" fontId="2" fillId="0" borderId="1" xfId="0" applyNumberFormat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0" borderId="0" xfId="0" applyFont="1" applyAlignment="1">
      <alignment vertical="top" wrapText="1"/>
    </xf>
    <xf numFmtId="0" fontId="4" fillId="2" borderId="0" xfId="0" applyFont="1" applyFill="1" applyAlignment="1">
      <alignment horizontal="left" vertical="center" indent="1"/>
    </xf>
    <xf numFmtId="0" fontId="6" fillId="0" borderId="0" xfId="0" applyFont="1"/>
    <xf numFmtId="0" fontId="14" fillId="0" borderId="0" xfId="0" applyFont="1"/>
    <xf numFmtId="0" fontId="3" fillId="0" borderId="0" xfId="0" applyFont="1"/>
    <xf numFmtId="0" fontId="2" fillId="0" borderId="0" xfId="0" applyFont="1"/>
    <xf numFmtId="0" fontId="16" fillId="2" borderId="0" xfId="0" applyFont="1" applyFill="1" applyAlignment="1">
      <alignment horizontal="left" vertical="center" indent="1"/>
    </xf>
    <xf numFmtId="0" fontId="12" fillId="6" borderId="1" xfId="0" applyFont="1" applyFill="1" applyBorder="1" applyAlignment="1">
      <alignment horizontal="center" vertical="center"/>
    </xf>
    <xf numFmtId="167" fontId="11" fillId="5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1" fillId="0" borderId="0" xfId="0" applyFont="1"/>
  </cellXfs>
  <cellStyles count="1">
    <cellStyle name="Normal" xfId="0" builtinId="0"/>
  </cellStyles>
  <dxfs count="17">
    <dxf>
      <fill>
        <patternFill>
          <bgColor rgb="FFFFF2CC"/>
        </patternFill>
      </fill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4F81BD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4A7EBB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solidFill>
          <a:schemeClr val="accent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Visualizations!$B$4</c:f>
              <c:strCache>
                <c:ptCount val="1"/>
                <c:pt idx="0">
                  <c:v>Revenue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Visualizations!$A$5:$A$8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Visualizations!$B$5:$B$8</c:f>
              <c:numCache>
                <c:formatCode>\$#,##0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1-47CA-9C1F-A60AE2848E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6497515"/>
        <c:axId val="17300674"/>
      </c:barChart>
      <c:catAx>
        <c:axId val="66497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674"/>
        <c:crosses val="autoZero"/>
        <c:auto val="1"/>
        <c:lblAlgn val="ctr"/>
        <c:lblOffset val="100"/>
        <c:noMultiLvlLbl val="0"/>
      </c:catAx>
      <c:valAx>
        <c:axId val="17300674"/>
        <c:scaling>
          <c:orientation val="minMax"/>
        </c:scaling>
        <c:delete val="1"/>
        <c:axPos val="l"/>
        <c:numFmt formatCode="\$#,##0" sourceLinked="1"/>
        <c:majorTickMark val="none"/>
        <c:minorTickMark val="none"/>
        <c:tickLblPos val="nextTo"/>
        <c:crossAx val="664975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Customer Segment</a:t>
            </a:r>
          </a:p>
        </c:rich>
      </c:tx>
      <c:overlay val="0"/>
      <c:spPr>
        <a:solidFill>
          <a:schemeClr val="accent3"/>
        </a:solidFill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Visualizations!$E$4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Visualizations!$D$5:$D$7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Visualizations!$E$5:$E$7</c:f>
              <c:numCache>
                <c:formatCode>\$#,##0</c:formatCode>
                <c:ptCount val="3"/>
                <c:pt idx="0">
                  <c:v>62177.810000000019</c:v>
                </c:pt>
                <c:pt idx="1">
                  <c:v>82357.540000000037</c:v>
                </c:pt>
                <c:pt idx="2">
                  <c:v>84657.12000000001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9-4FA7-80FC-27E664B0F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14075"/>
        <c:axId val="32872840"/>
      </c:barChart>
      <c:catAx>
        <c:axId val="53514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872840"/>
        <c:crosses val="autoZero"/>
        <c:auto val="1"/>
        <c:lblAlgn val="ctr"/>
        <c:lblOffset val="100"/>
        <c:noMultiLvlLbl val="0"/>
      </c:catAx>
      <c:valAx>
        <c:axId val="32872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14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Visualizations!$B$12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Visualizations!$A$13:$A$22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Visualizations!$B$13:$B$22</c:f>
              <c:numCache>
                <c:formatCode>\$#,##0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7049.5299999999988</c:v>
                </c:pt>
                <c:pt idx="3">
                  <c:v>3119.6099999999992</c:v>
                </c:pt>
                <c:pt idx="4">
                  <c:v>5219.1299999999974</c:v>
                </c:pt>
                <c:pt idx="5">
                  <c:v>10399.479999999998</c:v>
                </c:pt>
                <c:pt idx="6">
                  <c:v>23399.22</c:v>
                </c:pt>
                <c:pt idx="7">
                  <c:v>15298.979999999994</c:v>
                </c:pt>
                <c:pt idx="8">
                  <c:v>21999.119999999999</c:v>
                </c:pt>
                <c:pt idx="9">
                  <c:v>8009.1099999999969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27A-BC13-493F338F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74343"/>
        <c:axId val="4810292"/>
      </c:barChart>
      <c:catAx>
        <c:axId val="30774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10292"/>
        <c:crosses val="autoZero"/>
        <c:auto val="1"/>
        <c:lblAlgn val="ctr"/>
        <c:lblOffset val="100"/>
        <c:noMultiLvlLbl val="0"/>
      </c:catAx>
      <c:valAx>
        <c:axId val="48102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774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Dashboard!$B$15:$B$19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2-4F12-9D79-519C5D8E1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94780"/>
        <c:axId val="92830077"/>
      </c:barChart>
      <c:catAx>
        <c:axId val="86494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30077"/>
        <c:crosses val="autoZero"/>
        <c:auto val="1"/>
        <c:lblAlgn val="ctr"/>
        <c:lblOffset val="100"/>
        <c:noMultiLvlLbl val="0"/>
      </c:catAx>
      <c:valAx>
        <c:axId val="92830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4947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C37-49A5-8B0D-53627DF04ED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C37-49A5-8B0D-53627DF04ED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C37-49A5-8B0D-53627DF04ED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37-49A5-8B0D-53627DF04ED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37-49A5-8B0D-53627DF04ED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37-49A5-8B0D-53627DF04E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Dashboard!$E$15:$E$17</c:f>
              <c:strCache>
                <c:ptCount val="3"/>
                <c:pt idx="0">
                  <c:v>Electronics</c:v>
                </c:pt>
                <c:pt idx="1">
                  <c:v>Appliances</c:v>
                </c:pt>
                <c:pt idx="2">
                  <c:v>Furniture</c:v>
                </c:pt>
              </c:strCache>
            </c:strRef>
          </c:cat>
          <c:val>
            <c:numRef>
              <c:f>Dashboard!$F$15:$F$17</c:f>
              <c:numCache>
                <c:formatCode>\$#,##0</c:formatCode>
                <c:ptCount val="3"/>
                <c:pt idx="0">
                  <c:v>171756.05000000013</c:v>
                </c:pt>
                <c:pt idx="1">
                  <c:v>8338.7399999999961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37-49A5-8B0D-53627DF04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Trend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Revenue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Dashboard!$A$24:$A$36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Dashboard!$B$24:$B$36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56-479F-AC6E-F4B7D7E46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44520606"/>
        <c:axId val="88942114"/>
      </c:lineChart>
      <c:dateAx>
        <c:axId val="445206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2114"/>
        <c:crosses val="autoZero"/>
        <c:auto val="1"/>
        <c:lblOffset val="100"/>
        <c:baseTimeUnit val="months"/>
      </c:dateAx>
      <c:valAx>
        <c:axId val="88942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0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130680</xdr:rowOff>
    </xdr:from>
    <xdr:to>
      <xdr:col>4</xdr:col>
      <xdr:colOff>853440</xdr:colOff>
      <xdr:row>37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899160</xdr:colOff>
      <xdr:row>22</xdr:row>
      <xdr:rowOff>130680</xdr:rowOff>
    </xdr:from>
    <xdr:to>
      <xdr:col>12</xdr:col>
      <xdr:colOff>419100</xdr:colOff>
      <xdr:row>39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130680</xdr:rowOff>
    </xdr:from>
    <xdr:to>
      <xdr:col>5</xdr:col>
      <xdr:colOff>388620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101160</xdr:rowOff>
    </xdr:from>
    <xdr:to>
      <xdr:col>4</xdr:col>
      <xdr:colOff>606600</xdr:colOff>
      <xdr:row>55</xdr:row>
      <xdr:rowOff>123120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40</xdr:row>
      <xdr:rowOff>101160</xdr:rowOff>
    </xdr:from>
    <xdr:to>
      <xdr:col>14</xdr:col>
      <xdr:colOff>324720</xdr:colOff>
      <xdr:row>55</xdr:row>
      <xdr:rowOff>123120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56</xdr:row>
      <xdr:rowOff>100800</xdr:rowOff>
    </xdr:from>
    <xdr:to>
      <xdr:col>10</xdr:col>
      <xdr:colOff>68580</xdr:colOff>
      <xdr:row>75</xdr:row>
      <xdr:rowOff>175260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N251" totalsRowShown="0" headerRowDxfId="16" dataDxfId="15">
  <autoFilter ref="A1:N251" xr:uid="{00000000-0009-0000-0100-000001000000}"/>
  <tableColumns count="14">
    <tableColumn id="1" xr3:uid="{00000000-0010-0000-0000-000001000000}" name="Transaction_ID" dataDxfId="14"/>
    <tableColumn id="2" xr3:uid="{00000000-0010-0000-0000-000002000000}" name="Date" dataDxfId="13"/>
    <tableColumn id="3" xr3:uid="{00000000-0010-0000-0000-000003000000}" name="Customer_ID" dataDxfId="12"/>
    <tableColumn id="4" xr3:uid="{00000000-0010-0000-0000-000004000000}" name="Customer_Name" dataDxfId="11"/>
    <tableColumn id="5" xr3:uid="{00000000-0010-0000-0000-000005000000}" name="Product_ID" dataDxfId="10"/>
    <tableColumn id="6" xr3:uid="{00000000-0010-0000-0000-000006000000}" name="Product_Name" dataDxfId="9"/>
    <tableColumn id="7" xr3:uid="{00000000-0010-0000-0000-000007000000}" name="Category" dataDxfId="8"/>
    <tableColumn id="8" xr3:uid="{00000000-0010-0000-0000-000008000000}" name="Quantity" dataDxfId="7"/>
    <tableColumn id="9" xr3:uid="{00000000-0010-0000-0000-000009000000}" name="Unit_Price" dataDxfId="6"/>
    <tableColumn id="10" xr3:uid="{00000000-0010-0000-0000-00000A000000}" name="Payment_Method" dataDxfId="5"/>
    <tableColumn id="11" xr3:uid="{00000000-0010-0000-0000-00000B000000}" name="Region" dataDxfId="4"/>
    <tableColumn id="12" xr3:uid="{00000000-0010-0000-0000-00000C000000}" name="Customer_Segment" dataDxfId="3"/>
    <tableColumn id="13" xr3:uid="{00000000-0010-0000-0000-00000D000000}" name="Customer_Since" dataDxfId="2"/>
    <tableColumn id="14" xr3:uid="{00000000-0010-0000-0000-00000E000000}" name="Total_Amount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1"/>
  <sheetViews>
    <sheetView tabSelected="1" topLeftCell="B1"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3" width="15" style="31" customWidth="1"/>
    <col min="4" max="4" width="18" style="31" customWidth="1"/>
    <col min="5" max="5" width="15" style="31" customWidth="1"/>
    <col min="6" max="6" width="14" style="31" customWidth="1"/>
    <col min="7" max="11" width="15" style="31" customWidth="1"/>
    <col min="12" max="12" width="18.6640625" style="31" customWidth="1"/>
    <col min="13" max="13" width="15" style="31" customWidth="1"/>
    <col min="14" max="14" width="19.109375" style="31" bestFit="1" customWidth="1"/>
    <col min="15" max="16384" width="8.6640625" style="3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32" t="s">
        <v>14</v>
      </c>
      <c r="B2" s="33">
        <v>45393</v>
      </c>
      <c r="C2" s="32" t="s">
        <v>15</v>
      </c>
      <c r="D2" s="32" t="s">
        <v>16</v>
      </c>
      <c r="E2" s="32" t="s">
        <v>17</v>
      </c>
      <c r="F2" s="32" t="s">
        <v>18</v>
      </c>
      <c r="G2" s="32" t="s">
        <v>19</v>
      </c>
      <c r="H2" s="32">
        <v>3</v>
      </c>
      <c r="I2" s="34">
        <v>249.99</v>
      </c>
      <c r="J2" s="32" t="s">
        <v>20</v>
      </c>
      <c r="K2" s="32" t="s">
        <v>21</v>
      </c>
      <c r="L2" s="32" t="s">
        <v>22</v>
      </c>
      <c r="M2" s="33">
        <v>44425</v>
      </c>
      <c r="N2" s="34">
        <v>749.97</v>
      </c>
    </row>
    <row r="3" spans="1:14" x14ac:dyDescent="0.3">
      <c r="A3" s="32" t="s">
        <v>23</v>
      </c>
      <c r="B3" s="33">
        <v>45396</v>
      </c>
      <c r="C3" s="32" t="s">
        <v>24</v>
      </c>
      <c r="D3" s="32" t="s">
        <v>25</v>
      </c>
      <c r="E3" s="32" t="s">
        <v>17</v>
      </c>
      <c r="F3" s="32" t="s">
        <v>18</v>
      </c>
      <c r="G3" s="32" t="s">
        <v>19</v>
      </c>
      <c r="H3" s="32">
        <v>3</v>
      </c>
      <c r="I3" s="34">
        <v>249.99</v>
      </c>
      <c r="J3" s="32" t="s">
        <v>26</v>
      </c>
      <c r="K3" s="32" t="s">
        <v>21</v>
      </c>
      <c r="L3" s="32" t="s">
        <v>27</v>
      </c>
      <c r="M3" s="33">
        <v>44575</v>
      </c>
      <c r="N3" s="34">
        <v>749.97</v>
      </c>
    </row>
    <row r="4" spans="1:14" x14ac:dyDescent="0.3">
      <c r="A4" s="32" t="s">
        <v>28</v>
      </c>
      <c r="B4" s="33">
        <v>45399</v>
      </c>
      <c r="C4" s="32" t="s">
        <v>29</v>
      </c>
      <c r="D4" s="32" t="s">
        <v>30</v>
      </c>
      <c r="E4" s="32" t="s">
        <v>31</v>
      </c>
      <c r="F4" s="32" t="s">
        <v>32</v>
      </c>
      <c r="G4" s="32" t="s">
        <v>33</v>
      </c>
      <c r="H4" s="32">
        <v>3</v>
      </c>
      <c r="I4" s="34">
        <v>59.99</v>
      </c>
      <c r="J4" s="32" t="s">
        <v>34</v>
      </c>
      <c r="K4" s="32" t="s">
        <v>35</v>
      </c>
      <c r="L4" s="32" t="s">
        <v>36</v>
      </c>
      <c r="M4" s="33">
        <v>45262</v>
      </c>
      <c r="N4" s="34">
        <v>179.97</v>
      </c>
    </row>
    <row r="5" spans="1:14" x14ac:dyDescent="0.3">
      <c r="A5" s="32" t="s">
        <v>37</v>
      </c>
      <c r="B5" s="33">
        <v>45400</v>
      </c>
      <c r="C5" s="32" t="s">
        <v>38</v>
      </c>
      <c r="D5" s="32" t="s">
        <v>39</v>
      </c>
      <c r="E5" s="32" t="s">
        <v>31</v>
      </c>
      <c r="F5" s="32" t="s">
        <v>32</v>
      </c>
      <c r="G5" s="32" t="s">
        <v>33</v>
      </c>
      <c r="H5" s="32">
        <v>3</v>
      </c>
      <c r="I5" s="34">
        <v>59.99</v>
      </c>
      <c r="J5" s="32" t="s">
        <v>20</v>
      </c>
      <c r="K5" s="32" t="s">
        <v>40</v>
      </c>
      <c r="L5" s="32" t="s">
        <v>27</v>
      </c>
      <c r="M5" s="33">
        <v>45114</v>
      </c>
      <c r="N5" s="34">
        <v>179.97</v>
      </c>
    </row>
    <row r="6" spans="1:14" x14ac:dyDescent="0.3">
      <c r="A6" s="32" t="s">
        <v>41</v>
      </c>
      <c r="B6" s="33">
        <v>45400</v>
      </c>
      <c r="C6" s="32" t="s">
        <v>42</v>
      </c>
      <c r="D6" s="32" t="s">
        <v>43</v>
      </c>
      <c r="E6" s="32" t="s">
        <v>44</v>
      </c>
      <c r="F6" s="32" t="s">
        <v>45</v>
      </c>
      <c r="G6" s="32" t="s">
        <v>46</v>
      </c>
      <c r="H6" s="32">
        <v>5</v>
      </c>
      <c r="I6" s="34">
        <v>149.99</v>
      </c>
      <c r="J6" s="32" t="s">
        <v>26</v>
      </c>
      <c r="K6" s="32" t="s">
        <v>40</v>
      </c>
      <c r="L6" s="32" t="s">
        <v>27</v>
      </c>
      <c r="M6" s="33">
        <v>45295</v>
      </c>
      <c r="N6" s="34">
        <v>749.95</v>
      </c>
    </row>
    <row r="7" spans="1:14" x14ac:dyDescent="0.3">
      <c r="A7" s="32" t="s">
        <v>47</v>
      </c>
      <c r="B7" s="33">
        <v>45403</v>
      </c>
      <c r="C7" s="32" t="s">
        <v>48</v>
      </c>
      <c r="D7" s="32" t="s">
        <v>49</v>
      </c>
      <c r="E7" s="32" t="s">
        <v>31</v>
      </c>
      <c r="F7" s="32" t="s">
        <v>32</v>
      </c>
      <c r="G7" s="32" t="s">
        <v>33</v>
      </c>
      <c r="H7" s="32">
        <v>2</v>
      </c>
      <c r="I7" s="34">
        <v>59.99</v>
      </c>
      <c r="J7" s="32" t="s">
        <v>20</v>
      </c>
      <c r="K7" s="32" t="s">
        <v>50</v>
      </c>
      <c r="L7" s="32" t="s">
        <v>36</v>
      </c>
      <c r="M7" s="33">
        <v>44746</v>
      </c>
      <c r="N7" s="34">
        <v>119.98</v>
      </c>
    </row>
    <row r="8" spans="1:14" x14ac:dyDescent="0.3">
      <c r="A8" s="32" t="s">
        <v>51</v>
      </c>
      <c r="B8" s="33">
        <v>45403</v>
      </c>
      <c r="C8" s="32" t="s">
        <v>48</v>
      </c>
      <c r="D8" s="32" t="s">
        <v>49</v>
      </c>
      <c r="E8" s="32" t="s">
        <v>52</v>
      </c>
      <c r="F8" s="32" t="s">
        <v>53</v>
      </c>
      <c r="G8" s="32" t="s">
        <v>19</v>
      </c>
      <c r="H8" s="32">
        <v>5</v>
      </c>
      <c r="I8" s="34">
        <v>149.99</v>
      </c>
      <c r="J8" s="32" t="s">
        <v>26</v>
      </c>
      <c r="K8" s="32" t="s">
        <v>21</v>
      </c>
      <c r="L8" s="32" t="s">
        <v>36</v>
      </c>
      <c r="M8" s="33">
        <v>44418</v>
      </c>
      <c r="N8" s="34">
        <v>749.95</v>
      </c>
    </row>
    <row r="9" spans="1:14" x14ac:dyDescent="0.3">
      <c r="A9" s="32" t="s">
        <v>54</v>
      </c>
      <c r="B9" s="33">
        <v>45403</v>
      </c>
      <c r="C9" s="32" t="s">
        <v>55</v>
      </c>
      <c r="D9" s="32" t="s">
        <v>56</v>
      </c>
      <c r="E9" s="32" t="s">
        <v>31</v>
      </c>
      <c r="F9" s="32" t="s">
        <v>32</v>
      </c>
      <c r="G9" s="32" t="s">
        <v>33</v>
      </c>
      <c r="H9" s="32">
        <v>3</v>
      </c>
      <c r="I9" s="34">
        <v>59.99</v>
      </c>
      <c r="J9" s="32" t="s">
        <v>57</v>
      </c>
      <c r="K9" s="32" t="s">
        <v>35</v>
      </c>
      <c r="L9" s="32" t="s">
        <v>22</v>
      </c>
      <c r="M9" s="33">
        <v>45007</v>
      </c>
      <c r="N9" s="34">
        <v>179.97</v>
      </c>
    </row>
    <row r="10" spans="1:14" x14ac:dyDescent="0.3">
      <c r="A10" s="32" t="s">
        <v>58</v>
      </c>
      <c r="B10" s="33">
        <v>45405</v>
      </c>
      <c r="C10" s="32" t="s">
        <v>59</v>
      </c>
      <c r="D10" s="32" t="s">
        <v>60</v>
      </c>
      <c r="E10" s="32" t="s">
        <v>61</v>
      </c>
      <c r="F10" s="32" t="s">
        <v>62</v>
      </c>
      <c r="G10" s="32" t="s">
        <v>19</v>
      </c>
      <c r="H10" s="32">
        <v>3</v>
      </c>
      <c r="I10" s="34">
        <v>899.99</v>
      </c>
      <c r="J10" s="32" t="s">
        <v>34</v>
      </c>
      <c r="K10" s="32" t="s">
        <v>63</v>
      </c>
      <c r="L10" s="32" t="s">
        <v>36</v>
      </c>
      <c r="M10" s="33">
        <v>45299</v>
      </c>
      <c r="N10" s="34">
        <v>2699.97</v>
      </c>
    </row>
    <row r="11" spans="1:14" x14ac:dyDescent="0.3">
      <c r="A11" s="32" t="s">
        <v>64</v>
      </c>
      <c r="B11" s="33">
        <v>45408</v>
      </c>
      <c r="C11" s="32" t="s">
        <v>65</v>
      </c>
      <c r="D11" s="32" t="s">
        <v>66</v>
      </c>
      <c r="E11" s="32" t="s">
        <v>31</v>
      </c>
      <c r="F11" s="32" t="s">
        <v>32</v>
      </c>
      <c r="G11" s="32" t="s">
        <v>33</v>
      </c>
      <c r="H11" s="32">
        <v>3</v>
      </c>
      <c r="I11" s="34">
        <v>59.99</v>
      </c>
      <c r="J11" s="32" t="s">
        <v>20</v>
      </c>
      <c r="K11" s="32" t="s">
        <v>50</v>
      </c>
      <c r="L11" s="32" t="s">
        <v>27</v>
      </c>
      <c r="M11" s="33">
        <v>45207</v>
      </c>
      <c r="N11" s="34">
        <v>179.97</v>
      </c>
    </row>
    <row r="12" spans="1:14" x14ac:dyDescent="0.3">
      <c r="A12" s="32" t="s">
        <v>67</v>
      </c>
      <c r="B12" s="33">
        <v>45408</v>
      </c>
      <c r="C12" s="32" t="s">
        <v>68</v>
      </c>
      <c r="D12" s="32" t="s">
        <v>69</v>
      </c>
      <c r="E12" s="32" t="s">
        <v>44</v>
      </c>
      <c r="F12" s="32" t="s">
        <v>45</v>
      </c>
      <c r="G12" s="32" t="s">
        <v>46</v>
      </c>
      <c r="H12" s="32">
        <v>1</v>
      </c>
      <c r="I12" s="34">
        <v>149.99</v>
      </c>
      <c r="J12" s="32" t="s">
        <v>26</v>
      </c>
      <c r="K12" s="32" t="s">
        <v>50</v>
      </c>
      <c r="L12" s="32" t="s">
        <v>36</v>
      </c>
      <c r="M12" s="33">
        <v>45103</v>
      </c>
      <c r="N12" s="34">
        <v>149.99</v>
      </c>
    </row>
    <row r="13" spans="1:14" x14ac:dyDescent="0.3">
      <c r="A13" s="32" t="s">
        <v>70</v>
      </c>
      <c r="B13" s="33">
        <v>45408</v>
      </c>
      <c r="C13" s="32" t="s">
        <v>38</v>
      </c>
      <c r="D13" s="32" t="s">
        <v>39</v>
      </c>
      <c r="E13" s="32" t="s">
        <v>44</v>
      </c>
      <c r="F13" s="32" t="s">
        <v>45</v>
      </c>
      <c r="G13" s="32" t="s">
        <v>46</v>
      </c>
      <c r="H13" s="32">
        <v>5</v>
      </c>
      <c r="I13" s="34">
        <v>149.99</v>
      </c>
      <c r="J13" s="32" t="s">
        <v>57</v>
      </c>
      <c r="K13" s="32" t="s">
        <v>40</v>
      </c>
      <c r="L13" s="32" t="s">
        <v>22</v>
      </c>
      <c r="M13" s="33">
        <v>44830</v>
      </c>
      <c r="N13" s="34">
        <v>749.95</v>
      </c>
    </row>
    <row r="14" spans="1:14" x14ac:dyDescent="0.3">
      <c r="A14" s="32" t="s">
        <v>71</v>
      </c>
      <c r="B14" s="33">
        <v>45408</v>
      </c>
      <c r="C14" s="32" t="s">
        <v>72</v>
      </c>
      <c r="D14" s="32" t="s">
        <v>73</v>
      </c>
      <c r="E14" s="32" t="s">
        <v>44</v>
      </c>
      <c r="F14" s="32" t="s">
        <v>45</v>
      </c>
      <c r="G14" s="32" t="s">
        <v>46</v>
      </c>
      <c r="H14" s="32">
        <v>3</v>
      </c>
      <c r="I14" s="34">
        <v>149.99</v>
      </c>
      <c r="J14" s="32" t="s">
        <v>20</v>
      </c>
      <c r="K14" s="32" t="s">
        <v>40</v>
      </c>
      <c r="L14" s="32" t="s">
        <v>27</v>
      </c>
      <c r="M14" s="33">
        <v>44806</v>
      </c>
      <c r="N14" s="34">
        <v>449.97</v>
      </c>
    </row>
    <row r="15" spans="1:14" x14ac:dyDescent="0.3">
      <c r="A15" s="32" t="s">
        <v>74</v>
      </c>
      <c r="B15" s="33">
        <v>45409</v>
      </c>
      <c r="C15" s="32" t="s">
        <v>75</v>
      </c>
      <c r="D15" s="32" t="s">
        <v>76</v>
      </c>
      <c r="E15" s="32" t="s">
        <v>31</v>
      </c>
      <c r="F15" s="32" t="s">
        <v>32</v>
      </c>
      <c r="G15" s="32" t="s">
        <v>33</v>
      </c>
      <c r="H15" s="32">
        <v>3</v>
      </c>
      <c r="I15" s="34">
        <v>59.99</v>
      </c>
      <c r="J15" s="32" t="s">
        <v>26</v>
      </c>
      <c r="K15" s="32" t="s">
        <v>40</v>
      </c>
      <c r="L15" s="32" t="s">
        <v>36</v>
      </c>
      <c r="M15" s="33">
        <v>45351</v>
      </c>
      <c r="N15" s="34">
        <v>179.97</v>
      </c>
    </row>
    <row r="16" spans="1:14" x14ac:dyDescent="0.3">
      <c r="A16" s="32" t="s">
        <v>77</v>
      </c>
      <c r="B16" s="33">
        <v>45409</v>
      </c>
      <c r="C16" s="32" t="s">
        <v>78</v>
      </c>
      <c r="D16" s="32" t="s">
        <v>79</v>
      </c>
      <c r="E16" s="32" t="s">
        <v>80</v>
      </c>
      <c r="F16" s="32" t="s">
        <v>81</v>
      </c>
      <c r="G16" s="32" t="s">
        <v>19</v>
      </c>
      <c r="H16" s="32">
        <v>3</v>
      </c>
      <c r="I16" s="34">
        <v>699.99</v>
      </c>
      <c r="J16" s="32" t="s">
        <v>26</v>
      </c>
      <c r="K16" s="32" t="s">
        <v>50</v>
      </c>
      <c r="L16" s="32" t="s">
        <v>22</v>
      </c>
      <c r="M16" s="33">
        <v>44577</v>
      </c>
      <c r="N16" s="34">
        <v>2099.9699999999998</v>
      </c>
    </row>
    <row r="17" spans="1:14" x14ac:dyDescent="0.3">
      <c r="A17" s="32" t="s">
        <v>82</v>
      </c>
      <c r="B17" s="33">
        <v>45409</v>
      </c>
      <c r="C17" s="32" t="s">
        <v>83</v>
      </c>
      <c r="D17" s="32" t="s">
        <v>84</v>
      </c>
      <c r="E17" s="32" t="s">
        <v>61</v>
      </c>
      <c r="F17" s="32" t="s">
        <v>62</v>
      </c>
      <c r="G17" s="32" t="s">
        <v>19</v>
      </c>
      <c r="H17" s="32">
        <v>1</v>
      </c>
      <c r="I17" s="34">
        <v>899.99</v>
      </c>
      <c r="J17" s="32" t="s">
        <v>57</v>
      </c>
      <c r="K17" s="32" t="s">
        <v>40</v>
      </c>
      <c r="L17" s="32" t="s">
        <v>36</v>
      </c>
      <c r="M17" s="33">
        <v>44920</v>
      </c>
      <c r="N17" s="34">
        <v>899.99</v>
      </c>
    </row>
    <row r="18" spans="1:14" x14ac:dyDescent="0.3">
      <c r="A18" s="32" t="s">
        <v>85</v>
      </c>
      <c r="B18" s="33">
        <v>45410</v>
      </c>
      <c r="C18" s="32" t="s">
        <v>86</v>
      </c>
      <c r="D18" s="32" t="s">
        <v>87</v>
      </c>
      <c r="E18" s="32" t="s">
        <v>44</v>
      </c>
      <c r="F18" s="32" t="s">
        <v>45</v>
      </c>
      <c r="G18" s="32" t="s">
        <v>46</v>
      </c>
      <c r="H18" s="32">
        <v>4</v>
      </c>
      <c r="I18" s="34">
        <v>149.99</v>
      </c>
      <c r="J18" s="32" t="s">
        <v>57</v>
      </c>
      <c r="K18" s="32" t="s">
        <v>40</v>
      </c>
      <c r="L18" s="32" t="s">
        <v>27</v>
      </c>
      <c r="M18" s="33">
        <v>45374</v>
      </c>
      <c r="N18" s="34">
        <v>599.96</v>
      </c>
    </row>
    <row r="19" spans="1:14" x14ac:dyDescent="0.3">
      <c r="A19" s="32" t="s">
        <v>88</v>
      </c>
      <c r="B19" s="33">
        <v>45410</v>
      </c>
      <c r="C19" s="32" t="s">
        <v>89</v>
      </c>
      <c r="D19" s="32" t="s">
        <v>90</v>
      </c>
      <c r="E19" s="32" t="s">
        <v>80</v>
      </c>
      <c r="F19" s="32" t="s">
        <v>81</v>
      </c>
      <c r="G19" s="32" t="s">
        <v>19</v>
      </c>
      <c r="H19" s="32">
        <v>2</v>
      </c>
      <c r="I19" s="34">
        <v>699.99</v>
      </c>
      <c r="J19" s="32" t="s">
        <v>20</v>
      </c>
      <c r="K19" s="32" t="s">
        <v>40</v>
      </c>
      <c r="L19" s="32" t="s">
        <v>22</v>
      </c>
      <c r="M19" s="33">
        <v>44781</v>
      </c>
      <c r="N19" s="34">
        <v>1399.98</v>
      </c>
    </row>
    <row r="20" spans="1:14" x14ac:dyDescent="0.3">
      <c r="A20" s="32" t="s">
        <v>91</v>
      </c>
      <c r="B20" s="33">
        <v>45410</v>
      </c>
      <c r="C20" s="32" t="s">
        <v>86</v>
      </c>
      <c r="D20" s="32" t="s">
        <v>87</v>
      </c>
      <c r="E20" s="32" t="s">
        <v>61</v>
      </c>
      <c r="F20" s="32" t="s">
        <v>62</v>
      </c>
      <c r="G20" s="32" t="s">
        <v>19</v>
      </c>
      <c r="H20" s="32">
        <v>4</v>
      </c>
      <c r="I20" s="34">
        <v>899.99</v>
      </c>
      <c r="J20" s="32" t="s">
        <v>26</v>
      </c>
      <c r="K20" s="32" t="s">
        <v>50</v>
      </c>
      <c r="L20" s="32" t="s">
        <v>36</v>
      </c>
      <c r="M20" s="33">
        <v>45327</v>
      </c>
      <c r="N20" s="34">
        <v>3599.96</v>
      </c>
    </row>
    <row r="21" spans="1:14" x14ac:dyDescent="0.3">
      <c r="A21" s="32" t="s">
        <v>92</v>
      </c>
      <c r="B21" s="33">
        <v>45410</v>
      </c>
      <c r="C21" s="32" t="s">
        <v>93</v>
      </c>
      <c r="D21" s="32" t="s">
        <v>94</v>
      </c>
      <c r="E21" s="32" t="s">
        <v>17</v>
      </c>
      <c r="F21" s="32" t="s">
        <v>18</v>
      </c>
      <c r="G21" s="32" t="s">
        <v>19</v>
      </c>
      <c r="H21" s="32">
        <v>3</v>
      </c>
      <c r="I21" s="34">
        <v>249.99</v>
      </c>
      <c r="J21" s="32" t="s">
        <v>26</v>
      </c>
      <c r="K21" s="32" t="s">
        <v>40</v>
      </c>
      <c r="L21" s="32" t="s">
        <v>27</v>
      </c>
      <c r="M21" s="33">
        <v>45224</v>
      </c>
      <c r="N21" s="34">
        <v>749.97</v>
      </c>
    </row>
    <row r="22" spans="1:14" x14ac:dyDescent="0.3">
      <c r="A22" s="32" t="s">
        <v>95</v>
      </c>
      <c r="B22" s="33">
        <v>45412</v>
      </c>
      <c r="C22" s="32" t="s">
        <v>96</v>
      </c>
      <c r="D22" s="32" t="s">
        <v>97</v>
      </c>
      <c r="E22" s="32" t="s">
        <v>80</v>
      </c>
      <c r="F22" s="32" t="s">
        <v>81</v>
      </c>
      <c r="G22" s="32" t="s">
        <v>19</v>
      </c>
      <c r="H22" s="32">
        <v>5</v>
      </c>
      <c r="I22" s="34">
        <v>699.99</v>
      </c>
      <c r="J22" s="32" t="s">
        <v>20</v>
      </c>
      <c r="K22" s="32" t="s">
        <v>50</v>
      </c>
      <c r="L22" s="32" t="s">
        <v>22</v>
      </c>
      <c r="M22" s="33">
        <v>45167</v>
      </c>
      <c r="N22" s="34">
        <v>3499.95</v>
      </c>
    </row>
    <row r="23" spans="1:14" x14ac:dyDescent="0.3">
      <c r="A23" s="32" t="s">
        <v>98</v>
      </c>
      <c r="B23" s="33">
        <v>45413</v>
      </c>
      <c r="C23" s="32" t="s">
        <v>99</v>
      </c>
      <c r="D23" s="32" t="s">
        <v>100</v>
      </c>
      <c r="E23" s="32" t="s">
        <v>80</v>
      </c>
      <c r="F23" s="32" t="s">
        <v>81</v>
      </c>
      <c r="G23" s="32" t="s">
        <v>19</v>
      </c>
      <c r="H23" s="32">
        <v>4</v>
      </c>
      <c r="I23" s="34">
        <v>699.99</v>
      </c>
      <c r="J23" s="32" t="s">
        <v>20</v>
      </c>
      <c r="K23" s="32" t="s">
        <v>63</v>
      </c>
      <c r="L23" s="32" t="s">
        <v>36</v>
      </c>
      <c r="M23" s="33">
        <v>44409</v>
      </c>
      <c r="N23" s="34">
        <v>2799.96</v>
      </c>
    </row>
    <row r="24" spans="1:14" x14ac:dyDescent="0.3">
      <c r="A24" s="32" t="s">
        <v>101</v>
      </c>
      <c r="B24" s="33">
        <v>45415</v>
      </c>
      <c r="C24" s="32" t="s">
        <v>102</v>
      </c>
      <c r="D24" s="32" t="s">
        <v>103</v>
      </c>
      <c r="E24" s="32" t="s">
        <v>17</v>
      </c>
      <c r="F24" s="32" t="s">
        <v>18</v>
      </c>
      <c r="G24" s="32" t="s">
        <v>19</v>
      </c>
      <c r="H24" s="32">
        <v>4</v>
      </c>
      <c r="I24" s="34">
        <v>249.99</v>
      </c>
      <c r="J24" s="32" t="s">
        <v>34</v>
      </c>
      <c r="K24" s="32" t="s">
        <v>40</v>
      </c>
      <c r="L24" s="32" t="s">
        <v>36</v>
      </c>
      <c r="M24" s="33">
        <v>44468</v>
      </c>
      <c r="N24" s="34">
        <v>999.96</v>
      </c>
    </row>
    <row r="25" spans="1:14" x14ac:dyDescent="0.3">
      <c r="A25" s="32" t="s">
        <v>104</v>
      </c>
      <c r="B25" s="33">
        <v>45416</v>
      </c>
      <c r="C25" s="32" t="s">
        <v>86</v>
      </c>
      <c r="D25" s="32" t="s">
        <v>87</v>
      </c>
      <c r="E25" s="32" t="s">
        <v>105</v>
      </c>
      <c r="F25" s="32" t="s">
        <v>106</v>
      </c>
      <c r="G25" s="32" t="s">
        <v>46</v>
      </c>
      <c r="H25" s="32">
        <v>4</v>
      </c>
      <c r="I25" s="34">
        <v>299.99</v>
      </c>
      <c r="J25" s="32" t="s">
        <v>20</v>
      </c>
      <c r="K25" s="32" t="s">
        <v>50</v>
      </c>
      <c r="L25" s="32" t="s">
        <v>27</v>
      </c>
      <c r="M25" s="33">
        <v>44716</v>
      </c>
      <c r="N25" s="34">
        <v>1199.96</v>
      </c>
    </row>
    <row r="26" spans="1:14" x14ac:dyDescent="0.3">
      <c r="A26" s="32" t="s">
        <v>107</v>
      </c>
      <c r="B26" s="33">
        <v>45422</v>
      </c>
      <c r="C26" s="32" t="s">
        <v>108</v>
      </c>
      <c r="D26" s="32" t="s">
        <v>109</v>
      </c>
      <c r="E26" s="32" t="s">
        <v>17</v>
      </c>
      <c r="F26" s="32" t="s">
        <v>18</v>
      </c>
      <c r="G26" s="32" t="s">
        <v>19</v>
      </c>
      <c r="H26" s="32">
        <v>5</v>
      </c>
      <c r="I26" s="34">
        <v>249.99</v>
      </c>
      <c r="J26" s="32" t="s">
        <v>26</v>
      </c>
      <c r="K26" s="32" t="s">
        <v>50</v>
      </c>
      <c r="L26" s="32" t="s">
        <v>36</v>
      </c>
      <c r="M26" s="33">
        <v>44525</v>
      </c>
      <c r="N26" s="34">
        <v>1249.95</v>
      </c>
    </row>
    <row r="27" spans="1:14" x14ac:dyDescent="0.3">
      <c r="A27" s="32" t="s">
        <v>110</v>
      </c>
      <c r="B27" s="33">
        <v>45424</v>
      </c>
      <c r="C27" s="32" t="s">
        <v>68</v>
      </c>
      <c r="D27" s="32" t="s">
        <v>69</v>
      </c>
      <c r="E27" s="32" t="s">
        <v>105</v>
      </c>
      <c r="F27" s="32" t="s">
        <v>106</v>
      </c>
      <c r="G27" s="32" t="s">
        <v>46</v>
      </c>
      <c r="H27" s="32">
        <v>5</v>
      </c>
      <c r="I27" s="34">
        <v>299.99</v>
      </c>
      <c r="J27" s="32" t="s">
        <v>34</v>
      </c>
      <c r="K27" s="32" t="s">
        <v>63</v>
      </c>
      <c r="L27" s="32" t="s">
        <v>22</v>
      </c>
      <c r="M27" s="33">
        <v>45168</v>
      </c>
      <c r="N27" s="34">
        <v>1499.95</v>
      </c>
    </row>
    <row r="28" spans="1:14" x14ac:dyDescent="0.3">
      <c r="A28" s="32" t="s">
        <v>111</v>
      </c>
      <c r="B28" s="33">
        <v>45424</v>
      </c>
      <c r="C28" s="32" t="s">
        <v>112</v>
      </c>
      <c r="D28" s="32" t="s">
        <v>113</v>
      </c>
      <c r="E28" s="32" t="s">
        <v>114</v>
      </c>
      <c r="F28" s="32" t="s">
        <v>115</v>
      </c>
      <c r="G28" s="32" t="s">
        <v>33</v>
      </c>
      <c r="H28" s="32">
        <v>3</v>
      </c>
      <c r="I28" s="34">
        <v>79.989999999999995</v>
      </c>
      <c r="J28" s="32" t="s">
        <v>34</v>
      </c>
      <c r="K28" s="32" t="s">
        <v>63</v>
      </c>
      <c r="L28" s="32" t="s">
        <v>27</v>
      </c>
      <c r="M28" s="33">
        <v>45012</v>
      </c>
      <c r="N28" s="34">
        <v>239.97</v>
      </c>
    </row>
    <row r="29" spans="1:14" x14ac:dyDescent="0.3">
      <c r="A29" s="32" t="s">
        <v>116</v>
      </c>
      <c r="B29" s="33">
        <v>45424</v>
      </c>
      <c r="C29" s="32" t="s">
        <v>99</v>
      </c>
      <c r="D29" s="32" t="s">
        <v>100</v>
      </c>
      <c r="E29" s="32" t="s">
        <v>117</v>
      </c>
      <c r="F29" s="32" t="s">
        <v>118</v>
      </c>
      <c r="G29" s="32" t="s">
        <v>19</v>
      </c>
      <c r="H29" s="32">
        <v>5</v>
      </c>
      <c r="I29" s="34">
        <v>89.99</v>
      </c>
      <c r="J29" s="32" t="s">
        <v>20</v>
      </c>
      <c r="K29" s="32" t="s">
        <v>40</v>
      </c>
      <c r="L29" s="32" t="s">
        <v>27</v>
      </c>
      <c r="M29" s="33">
        <v>44919</v>
      </c>
      <c r="N29" s="34">
        <v>449.95</v>
      </c>
    </row>
    <row r="30" spans="1:14" x14ac:dyDescent="0.3">
      <c r="A30" s="32" t="s">
        <v>119</v>
      </c>
      <c r="B30" s="33">
        <v>45425</v>
      </c>
      <c r="C30" s="32" t="s">
        <v>120</v>
      </c>
      <c r="D30" s="32" t="s">
        <v>121</v>
      </c>
      <c r="E30" s="32" t="s">
        <v>31</v>
      </c>
      <c r="F30" s="32" t="s">
        <v>32</v>
      </c>
      <c r="G30" s="32" t="s">
        <v>33</v>
      </c>
      <c r="H30" s="32">
        <v>2</v>
      </c>
      <c r="I30" s="34">
        <v>59.99</v>
      </c>
      <c r="J30" s="32" t="s">
        <v>57</v>
      </c>
      <c r="K30" s="32" t="s">
        <v>21</v>
      </c>
      <c r="L30" s="32" t="s">
        <v>36</v>
      </c>
      <c r="M30" s="33">
        <v>45214</v>
      </c>
      <c r="N30" s="34">
        <v>119.98</v>
      </c>
    </row>
    <row r="31" spans="1:14" x14ac:dyDescent="0.3">
      <c r="A31" s="32" t="s">
        <v>122</v>
      </c>
      <c r="B31" s="33">
        <v>45427</v>
      </c>
      <c r="C31" s="32" t="s">
        <v>123</v>
      </c>
      <c r="D31" s="32" t="s">
        <v>124</v>
      </c>
      <c r="E31" s="32" t="s">
        <v>31</v>
      </c>
      <c r="F31" s="32" t="s">
        <v>32</v>
      </c>
      <c r="G31" s="32" t="s">
        <v>33</v>
      </c>
      <c r="H31" s="32">
        <v>4</v>
      </c>
      <c r="I31" s="34">
        <v>59.99</v>
      </c>
      <c r="J31" s="32" t="s">
        <v>57</v>
      </c>
      <c r="K31" s="32" t="s">
        <v>63</v>
      </c>
      <c r="L31" s="32" t="s">
        <v>36</v>
      </c>
      <c r="M31" s="33">
        <v>44867</v>
      </c>
      <c r="N31" s="34">
        <v>239.96</v>
      </c>
    </row>
    <row r="32" spans="1:14" x14ac:dyDescent="0.3">
      <c r="A32" s="32" t="s">
        <v>125</v>
      </c>
      <c r="B32" s="33">
        <v>45427</v>
      </c>
      <c r="C32" s="32" t="s">
        <v>55</v>
      </c>
      <c r="D32" s="32" t="s">
        <v>56</v>
      </c>
      <c r="E32" s="32" t="s">
        <v>126</v>
      </c>
      <c r="F32" s="32" t="s">
        <v>127</v>
      </c>
      <c r="G32" s="32" t="s">
        <v>46</v>
      </c>
      <c r="H32" s="32">
        <v>5</v>
      </c>
      <c r="I32" s="34">
        <v>199.99</v>
      </c>
      <c r="J32" s="32" t="s">
        <v>20</v>
      </c>
      <c r="K32" s="32" t="s">
        <v>35</v>
      </c>
      <c r="L32" s="32" t="s">
        <v>36</v>
      </c>
      <c r="M32" s="33">
        <v>44412</v>
      </c>
      <c r="N32" s="34">
        <v>999.95</v>
      </c>
    </row>
    <row r="33" spans="1:14" x14ac:dyDescent="0.3">
      <c r="A33" s="32" t="s">
        <v>128</v>
      </c>
      <c r="B33" s="33">
        <v>45428</v>
      </c>
      <c r="C33" s="32" t="s">
        <v>129</v>
      </c>
      <c r="D33" s="32" t="s">
        <v>130</v>
      </c>
      <c r="E33" s="32" t="s">
        <v>44</v>
      </c>
      <c r="F33" s="32" t="s">
        <v>45</v>
      </c>
      <c r="G33" s="32" t="s">
        <v>46</v>
      </c>
      <c r="H33" s="32">
        <v>2</v>
      </c>
      <c r="I33" s="34">
        <v>149.99</v>
      </c>
      <c r="J33" s="32" t="s">
        <v>26</v>
      </c>
      <c r="K33" s="32" t="s">
        <v>50</v>
      </c>
      <c r="L33" s="32" t="s">
        <v>22</v>
      </c>
      <c r="M33" s="33">
        <v>44823</v>
      </c>
      <c r="N33" s="34">
        <v>299.98</v>
      </c>
    </row>
    <row r="34" spans="1:14" x14ac:dyDescent="0.3">
      <c r="A34" s="32" t="s">
        <v>131</v>
      </c>
      <c r="B34" s="33">
        <v>45430</v>
      </c>
      <c r="C34" s="32" t="s">
        <v>132</v>
      </c>
      <c r="D34" s="32" t="s">
        <v>133</v>
      </c>
      <c r="E34" s="32" t="s">
        <v>44</v>
      </c>
      <c r="F34" s="32" t="s">
        <v>45</v>
      </c>
      <c r="G34" s="32" t="s">
        <v>46</v>
      </c>
      <c r="H34" s="32">
        <v>3</v>
      </c>
      <c r="I34" s="34">
        <v>149.99</v>
      </c>
      <c r="J34" s="32" t="s">
        <v>26</v>
      </c>
      <c r="K34" s="32" t="s">
        <v>50</v>
      </c>
      <c r="L34" s="32" t="s">
        <v>27</v>
      </c>
      <c r="M34" s="33">
        <v>45068</v>
      </c>
      <c r="N34" s="34">
        <v>449.97</v>
      </c>
    </row>
    <row r="35" spans="1:14" x14ac:dyDescent="0.3">
      <c r="A35" s="32" t="s">
        <v>134</v>
      </c>
      <c r="B35" s="33">
        <v>45432</v>
      </c>
      <c r="C35" s="32" t="s">
        <v>29</v>
      </c>
      <c r="D35" s="32" t="s">
        <v>30</v>
      </c>
      <c r="E35" s="32" t="s">
        <v>61</v>
      </c>
      <c r="F35" s="32" t="s">
        <v>62</v>
      </c>
      <c r="G35" s="32" t="s">
        <v>19</v>
      </c>
      <c r="H35" s="32">
        <v>1</v>
      </c>
      <c r="I35" s="34">
        <v>899.99</v>
      </c>
      <c r="J35" s="32" t="s">
        <v>26</v>
      </c>
      <c r="K35" s="32" t="s">
        <v>50</v>
      </c>
      <c r="L35" s="32" t="s">
        <v>27</v>
      </c>
      <c r="M35" s="33">
        <v>44578</v>
      </c>
      <c r="N35" s="34">
        <v>899.99</v>
      </c>
    </row>
    <row r="36" spans="1:14" x14ac:dyDescent="0.3">
      <c r="A36" s="32" t="s">
        <v>135</v>
      </c>
      <c r="B36" s="33">
        <v>45434</v>
      </c>
      <c r="C36" s="32" t="s">
        <v>99</v>
      </c>
      <c r="D36" s="32" t="s">
        <v>100</v>
      </c>
      <c r="E36" s="32" t="s">
        <v>105</v>
      </c>
      <c r="F36" s="32" t="s">
        <v>106</v>
      </c>
      <c r="G36" s="32" t="s">
        <v>46</v>
      </c>
      <c r="H36" s="32">
        <v>3</v>
      </c>
      <c r="I36" s="34">
        <v>299.99</v>
      </c>
      <c r="J36" s="32" t="s">
        <v>26</v>
      </c>
      <c r="K36" s="32" t="s">
        <v>63</v>
      </c>
      <c r="L36" s="32" t="s">
        <v>22</v>
      </c>
      <c r="M36" s="33">
        <v>44824</v>
      </c>
      <c r="N36" s="34">
        <v>899.97</v>
      </c>
    </row>
    <row r="37" spans="1:14" x14ac:dyDescent="0.3">
      <c r="A37" s="32" t="s">
        <v>136</v>
      </c>
      <c r="B37" s="33">
        <v>45435</v>
      </c>
      <c r="C37" s="32" t="s">
        <v>129</v>
      </c>
      <c r="D37" s="32" t="s">
        <v>130</v>
      </c>
      <c r="E37" s="32" t="s">
        <v>114</v>
      </c>
      <c r="F37" s="32" t="s">
        <v>115</v>
      </c>
      <c r="G37" s="32" t="s">
        <v>33</v>
      </c>
      <c r="H37" s="32">
        <v>3</v>
      </c>
      <c r="I37" s="34">
        <v>79.989999999999995</v>
      </c>
      <c r="J37" s="32" t="s">
        <v>20</v>
      </c>
      <c r="K37" s="32" t="s">
        <v>35</v>
      </c>
      <c r="L37" s="32" t="s">
        <v>22</v>
      </c>
      <c r="M37" s="33">
        <v>45046</v>
      </c>
      <c r="N37" s="34">
        <v>239.97</v>
      </c>
    </row>
    <row r="38" spans="1:14" x14ac:dyDescent="0.3">
      <c r="A38" s="32" t="s">
        <v>137</v>
      </c>
      <c r="B38" s="33">
        <v>45438</v>
      </c>
      <c r="C38" s="32" t="s">
        <v>138</v>
      </c>
      <c r="D38" s="32" t="s">
        <v>139</v>
      </c>
      <c r="E38" s="32" t="s">
        <v>126</v>
      </c>
      <c r="F38" s="32" t="s">
        <v>127</v>
      </c>
      <c r="G38" s="32" t="s">
        <v>46</v>
      </c>
      <c r="H38" s="32">
        <v>3</v>
      </c>
      <c r="I38" s="34">
        <v>199.99</v>
      </c>
      <c r="J38" s="32" t="s">
        <v>26</v>
      </c>
      <c r="K38" s="32" t="s">
        <v>40</v>
      </c>
      <c r="L38" s="32" t="s">
        <v>27</v>
      </c>
      <c r="M38" s="33">
        <v>45292</v>
      </c>
      <c r="N38" s="34">
        <v>599.97</v>
      </c>
    </row>
    <row r="39" spans="1:14" x14ac:dyDescent="0.3">
      <c r="A39" s="32" t="s">
        <v>140</v>
      </c>
      <c r="B39" s="33">
        <v>45440</v>
      </c>
      <c r="C39" s="32" t="s">
        <v>141</v>
      </c>
      <c r="D39" s="32" t="s">
        <v>142</v>
      </c>
      <c r="E39" s="32" t="s">
        <v>80</v>
      </c>
      <c r="F39" s="32" t="s">
        <v>81</v>
      </c>
      <c r="G39" s="32" t="s">
        <v>19</v>
      </c>
      <c r="H39" s="32">
        <v>5</v>
      </c>
      <c r="I39" s="34">
        <v>699.99</v>
      </c>
      <c r="J39" s="32" t="s">
        <v>34</v>
      </c>
      <c r="K39" s="32" t="s">
        <v>50</v>
      </c>
      <c r="L39" s="32" t="s">
        <v>36</v>
      </c>
      <c r="M39" s="33">
        <v>44407</v>
      </c>
      <c r="N39" s="34">
        <v>3499.95</v>
      </c>
    </row>
    <row r="40" spans="1:14" x14ac:dyDescent="0.3">
      <c r="A40" s="32" t="s">
        <v>143</v>
      </c>
      <c r="B40" s="33">
        <v>45441</v>
      </c>
      <c r="C40" s="32" t="s">
        <v>144</v>
      </c>
      <c r="D40" s="32" t="s">
        <v>145</v>
      </c>
      <c r="E40" s="32" t="s">
        <v>117</v>
      </c>
      <c r="F40" s="32" t="s">
        <v>118</v>
      </c>
      <c r="G40" s="32" t="s">
        <v>19</v>
      </c>
      <c r="H40" s="32">
        <v>3</v>
      </c>
      <c r="I40" s="34">
        <v>89.99</v>
      </c>
      <c r="J40" s="32" t="s">
        <v>34</v>
      </c>
      <c r="K40" s="32" t="s">
        <v>21</v>
      </c>
      <c r="L40" s="32" t="s">
        <v>27</v>
      </c>
      <c r="M40" s="33">
        <v>45120</v>
      </c>
      <c r="N40" s="34">
        <v>269.97000000000003</v>
      </c>
    </row>
    <row r="41" spans="1:14" x14ac:dyDescent="0.3">
      <c r="A41" s="32" t="s">
        <v>146</v>
      </c>
      <c r="B41" s="33">
        <v>45443</v>
      </c>
      <c r="C41" s="32" t="s">
        <v>147</v>
      </c>
      <c r="D41" s="32" t="s">
        <v>148</v>
      </c>
      <c r="E41" s="32" t="s">
        <v>114</v>
      </c>
      <c r="F41" s="32" t="s">
        <v>115</v>
      </c>
      <c r="G41" s="32" t="s">
        <v>33</v>
      </c>
      <c r="H41" s="32">
        <v>1</v>
      </c>
      <c r="I41" s="34">
        <v>79.989999999999995</v>
      </c>
      <c r="J41" s="32" t="s">
        <v>20</v>
      </c>
      <c r="K41" s="32" t="s">
        <v>40</v>
      </c>
      <c r="L41" s="32" t="s">
        <v>36</v>
      </c>
      <c r="M41" s="33">
        <v>44917</v>
      </c>
      <c r="N41" s="34">
        <v>79.989999999999995</v>
      </c>
    </row>
    <row r="42" spans="1:14" x14ac:dyDescent="0.3">
      <c r="A42" s="32" t="s">
        <v>149</v>
      </c>
      <c r="B42" s="33">
        <v>45444</v>
      </c>
      <c r="C42" s="32" t="s">
        <v>150</v>
      </c>
      <c r="D42" s="32" t="s">
        <v>151</v>
      </c>
      <c r="E42" s="32" t="s">
        <v>31</v>
      </c>
      <c r="F42" s="32" t="s">
        <v>32</v>
      </c>
      <c r="G42" s="32" t="s">
        <v>33</v>
      </c>
      <c r="H42" s="32">
        <v>2</v>
      </c>
      <c r="I42" s="34">
        <v>59.99</v>
      </c>
      <c r="J42" s="32" t="s">
        <v>20</v>
      </c>
      <c r="K42" s="32" t="s">
        <v>50</v>
      </c>
      <c r="L42" s="32" t="s">
        <v>22</v>
      </c>
      <c r="M42" s="33">
        <v>45390</v>
      </c>
      <c r="N42" s="34">
        <v>119.98</v>
      </c>
    </row>
    <row r="43" spans="1:14" x14ac:dyDescent="0.3">
      <c r="A43" s="32" t="s">
        <v>152</v>
      </c>
      <c r="B43" s="33">
        <v>45444</v>
      </c>
      <c r="C43" s="32" t="s">
        <v>55</v>
      </c>
      <c r="D43" s="32" t="s">
        <v>56</v>
      </c>
      <c r="E43" s="32" t="s">
        <v>117</v>
      </c>
      <c r="F43" s="32" t="s">
        <v>118</v>
      </c>
      <c r="G43" s="32" t="s">
        <v>19</v>
      </c>
      <c r="H43" s="32">
        <v>1</v>
      </c>
      <c r="I43" s="34">
        <v>89.99</v>
      </c>
      <c r="J43" s="32" t="s">
        <v>20</v>
      </c>
      <c r="K43" s="32" t="s">
        <v>40</v>
      </c>
      <c r="L43" s="32" t="s">
        <v>22</v>
      </c>
      <c r="M43" s="33">
        <v>45141</v>
      </c>
      <c r="N43" s="34">
        <v>89.99</v>
      </c>
    </row>
    <row r="44" spans="1:14" x14ac:dyDescent="0.3">
      <c r="A44" s="32" t="s">
        <v>153</v>
      </c>
      <c r="B44" s="33">
        <v>45446</v>
      </c>
      <c r="C44" s="32" t="s">
        <v>154</v>
      </c>
      <c r="D44" s="32" t="s">
        <v>155</v>
      </c>
      <c r="E44" s="32" t="s">
        <v>117</v>
      </c>
      <c r="F44" s="32" t="s">
        <v>118</v>
      </c>
      <c r="G44" s="32" t="s">
        <v>19</v>
      </c>
      <c r="H44" s="32">
        <v>5</v>
      </c>
      <c r="I44" s="34">
        <v>89.99</v>
      </c>
      <c r="J44" s="32" t="s">
        <v>26</v>
      </c>
      <c r="K44" s="32" t="s">
        <v>63</v>
      </c>
      <c r="L44" s="32" t="s">
        <v>36</v>
      </c>
      <c r="M44" s="33">
        <v>44587</v>
      </c>
      <c r="N44" s="34">
        <v>449.95</v>
      </c>
    </row>
    <row r="45" spans="1:14" x14ac:dyDescent="0.3">
      <c r="A45" s="32" t="s">
        <v>156</v>
      </c>
      <c r="B45" s="33">
        <v>45449</v>
      </c>
      <c r="C45" s="32" t="s">
        <v>24</v>
      </c>
      <c r="D45" s="32" t="s">
        <v>25</v>
      </c>
      <c r="E45" s="32" t="s">
        <v>17</v>
      </c>
      <c r="F45" s="32" t="s">
        <v>18</v>
      </c>
      <c r="G45" s="32" t="s">
        <v>19</v>
      </c>
      <c r="H45" s="32">
        <v>5</v>
      </c>
      <c r="I45" s="34">
        <v>249.99</v>
      </c>
      <c r="J45" s="32" t="s">
        <v>26</v>
      </c>
      <c r="K45" s="32" t="s">
        <v>63</v>
      </c>
      <c r="L45" s="32" t="s">
        <v>36</v>
      </c>
      <c r="M45" s="33">
        <v>44707</v>
      </c>
      <c r="N45" s="34">
        <v>1249.95</v>
      </c>
    </row>
    <row r="46" spans="1:14" x14ac:dyDescent="0.3">
      <c r="A46" s="32" t="s">
        <v>157</v>
      </c>
      <c r="B46" s="33">
        <v>45449</v>
      </c>
      <c r="C46" s="32" t="s">
        <v>158</v>
      </c>
      <c r="D46" s="32" t="s">
        <v>159</v>
      </c>
      <c r="E46" s="32" t="s">
        <v>117</v>
      </c>
      <c r="F46" s="32" t="s">
        <v>118</v>
      </c>
      <c r="G46" s="32" t="s">
        <v>19</v>
      </c>
      <c r="H46" s="32">
        <v>1</v>
      </c>
      <c r="I46" s="34">
        <v>89.99</v>
      </c>
      <c r="J46" s="32" t="s">
        <v>26</v>
      </c>
      <c r="K46" s="32" t="s">
        <v>35</v>
      </c>
      <c r="L46" s="32" t="s">
        <v>36</v>
      </c>
      <c r="M46" s="33">
        <v>44582</v>
      </c>
      <c r="N46" s="34">
        <v>89.99</v>
      </c>
    </row>
    <row r="47" spans="1:14" x14ac:dyDescent="0.3">
      <c r="A47" s="32" t="s">
        <v>160</v>
      </c>
      <c r="B47" s="33">
        <v>45450</v>
      </c>
      <c r="C47" s="32" t="s">
        <v>42</v>
      </c>
      <c r="D47" s="32" t="s">
        <v>43</v>
      </c>
      <c r="E47" s="32" t="s">
        <v>44</v>
      </c>
      <c r="F47" s="32" t="s">
        <v>45</v>
      </c>
      <c r="G47" s="32" t="s">
        <v>46</v>
      </c>
      <c r="H47" s="32">
        <v>2</v>
      </c>
      <c r="I47" s="34">
        <v>149.99</v>
      </c>
      <c r="J47" s="32" t="s">
        <v>20</v>
      </c>
      <c r="K47" s="32" t="s">
        <v>63</v>
      </c>
      <c r="L47" s="32" t="s">
        <v>27</v>
      </c>
      <c r="M47" s="33">
        <v>44645</v>
      </c>
      <c r="N47" s="34">
        <v>299.98</v>
      </c>
    </row>
    <row r="48" spans="1:14" x14ac:dyDescent="0.3">
      <c r="A48" s="32" t="s">
        <v>161</v>
      </c>
      <c r="B48" s="33">
        <v>45452</v>
      </c>
      <c r="C48" s="32" t="s">
        <v>162</v>
      </c>
      <c r="D48" s="32" t="s">
        <v>163</v>
      </c>
      <c r="E48" s="32" t="s">
        <v>31</v>
      </c>
      <c r="F48" s="32" t="s">
        <v>32</v>
      </c>
      <c r="G48" s="32" t="s">
        <v>33</v>
      </c>
      <c r="H48" s="32">
        <v>4</v>
      </c>
      <c r="I48" s="34">
        <v>59.99</v>
      </c>
      <c r="J48" s="32" t="s">
        <v>20</v>
      </c>
      <c r="K48" s="32" t="s">
        <v>63</v>
      </c>
      <c r="L48" s="32" t="s">
        <v>36</v>
      </c>
      <c r="M48" s="33">
        <v>44435</v>
      </c>
      <c r="N48" s="34">
        <v>239.96</v>
      </c>
    </row>
    <row r="49" spans="1:14" x14ac:dyDescent="0.3">
      <c r="A49" s="32" t="s">
        <v>164</v>
      </c>
      <c r="B49" s="33">
        <v>45456</v>
      </c>
      <c r="C49" s="32" t="s">
        <v>129</v>
      </c>
      <c r="D49" s="32" t="s">
        <v>130</v>
      </c>
      <c r="E49" s="32" t="s">
        <v>117</v>
      </c>
      <c r="F49" s="32" t="s">
        <v>118</v>
      </c>
      <c r="G49" s="32" t="s">
        <v>19</v>
      </c>
      <c r="H49" s="32">
        <v>5</v>
      </c>
      <c r="I49" s="34">
        <v>89.99</v>
      </c>
      <c r="J49" s="32" t="s">
        <v>20</v>
      </c>
      <c r="K49" s="32" t="s">
        <v>21</v>
      </c>
      <c r="L49" s="32" t="s">
        <v>27</v>
      </c>
      <c r="M49" s="33">
        <v>44579</v>
      </c>
      <c r="N49" s="34">
        <v>449.95</v>
      </c>
    </row>
    <row r="50" spans="1:14" x14ac:dyDescent="0.3">
      <c r="A50" s="32" t="s">
        <v>165</v>
      </c>
      <c r="B50" s="33">
        <v>45459</v>
      </c>
      <c r="C50" s="32" t="s">
        <v>99</v>
      </c>
      <c r="D50" s="32" t="s">
        <v>100</v>
      </c>
      <c r="E50" s="32" t="s">
        <v>117</v>
      </c>
      <c r="F50" s="32" t="s">
        <v>118</v>
      </c>
      <c r="G50" s="32" t="s">
        <v>19</v>
      </c>
      <c r="H50" s="32">
        <v>2</v>
      </c>
      <c r="I50" s="34">
        <v>89.99</v>
      </c>
      <c r="J50" s="32" t="s">
        <v>26</v>
      </c>
      <c r="K50" s="32" t="s">
        <v>35</v>
      </c>
      <c r="L50" s="32" t="s">
        <v>27</v>
      </c>
      <c r="M50" s="33">
        <v>44471</v>
      </c>
      <c r="N50" s="34">
        <v>179.98</v>
      </c>
    </row>
    <row r="51" spans="1:14" x14ac:dyDescent="0.3">
      <c r="A51" s="32" t="s">
        <v>166</v>
      </c>
      <c r="B51" s="33">
        <v>45459</v>
      </c>
      <c r="C51" s="32" t="s">
        <v>15</v>
      </c>
      <c r="D51" s="32" t="s">
        <v>16</v>
      </c>
      <c r="E51" s="32" t="s">
        <v>61</v>
      </c>
      <c r="F51" s="32" t="s">
        <v>62</v>
      </c>
      <c r="G51" s="32" t="s">
        <v>19</v>
      </c>
      <c r="H51" s="32">
        <v>5</v>
      </c>
      <c r="I51" s="34">
        <v>899.99</v>
      </c>
      <c r="J51" s="32" t="s">
        <v>26</v>
      </c>
      <c r="K51" s="32" t="s">
        <v>35</v>
      </c>
      <c r="L51" s="32" t="s">
        <v>36</v>
      </c>
      <c r="M51" s="33">
        <v>44974</v>
      </c>
      <c r="N51" s="34">
        <v>4499.95</v>
      </c>
    </row>
    <row r="52" spans="1:14" x14ac:dyDescent="0.3">
      <c r="A52" s="32" t="s">
        <v>167</v>
      </c>
      <c r="B52" s="33">
        <v>45459</v>
      </c>
      <c r="C52" s="32" t="s">
        <v>123</v>
      </c>
      <c r="D52" s="32" t="s">
        <v>124</v>
      </c>
      <c r="E52" s="32" t="s">
        <v>61</v>
      </c>
      <c r="F52" s="32" t="s">
        <v>62</v>
      </c>
      <c r="G52" s="32" t="s">
        <v>19</v>
      </c>
      <c r="H52" s="32">
        <v>5</v>
      </c>
      <c r="I52" s="34">
        <v>899.99</v>
      </c>
      <c r="J52" s="32" t="s">
        <v>34</v>
      </c>
      <c r="K52" s="32" t="s">
        <v>63</v>
      </c>
      <c r="L52" s="32" t="s">
        <v>27</v>
      </c>
      <c r="M52" s="33">
        <v>45278</v>
      </c>
      <c r="N52" s="34">
        <v>4499.95</v>
      </c>
    </row>
    <row r="53" spans="1:14" x14ac:dyDescent="0.3">
      <c r="A53" s="32" t="s">
        <v>168</v>
      </c>
      <c r="B53" s="33">
        <v>45460</v>
      </c>
      <c r="C53" s="32" t="s">
        <v>158</v>
      </c>
      <c r="D53" s="32" t="s">
        <v>159</v>
      </c>
      <c r="E53" s="32" t="s">
        <v>31</v>
      </c>
      <c r="F53" s="32" t="s">
        <v>32</v>
      </c>
      <c r="G53" s="32" t="s">
        <v>33</v>
      </c>
      <c r="H53" s="32">
        <v>1</v>
      </c>
      <c r="I53" s="34">
        <v>59.99</v>
      </c>
      <c r="J53" s="32" t="s">
        <v>57</v>
      </c>
      <c r="K53" s="32" t="s">
        <v>50</v>
      </c>
      <c r="L53" s="32" t="s">
        <v>27</v>
      </c>
      <c r="M53" s="33">
        <v>45190</v>
      </c>
      <c r="N53" s="34">
        <v>59.99</v>
      </c>
    </row>
    <row r="54" spans="1:14" x14ac:dyDescent="0.3">
      <c r="A54" s="32" t="s">
        <v>169</v>
      </c>
      <c r="B54" s="33">
        <v>45460</v>
      </c>
      <c r="C54" s="32" t="s">
        <v>141</v>
      </c>
      <c r="D54" s="32" t="s">
        <v>142</v>
      </c>
      <c r="E54" s="32" t="s">
        <v>105</v>
      </c>
      <c r="F54" s="32" t="s">
        <v>106</v>
      </c>
      <c r="G54" s="32" t="s">
        <v>46</v>
      </c>
      <c r="H54" s="32">
        <v>2</v>
      </c>
      <c r="I54" s="34">
        <v>299.99</v>
      </c>
      <c r="J54" s="32" t="s">
        <v>57</v>
      </c>
      <c r="K54" s="32" t="s">
        <v>63</v>
      </c>
      <c r="L54" s="32" t="s">
        <v>36</v>
      </c>
      <c r="M54" s="33">
        <v>45253</v>
      </c>
      <c r="N54" s="34">
        <v>599.98</v>
      </c>
    </row>
    <row r="55" spans="1:14" x14ac:dyDescent="0.3">
      <c r="A55" s="32" t="s">
        <v>170</v>
      </c>
      <c r="B55" s="33">
        <v>45468</v>
      </c>
      <c r="C55" s="32" t="s">
        <v>171</v>
      </c>
      <c r="D55" s="32" t="s">
        <v>172</v>
      </c>
      <c r="E55" s="32" t="s">
        <v>117</v>
      </c>
      <c r="F55" s="32" t="s">
        <v>118</v>
      </c>
      <c r="G55" s="32" t="s">
        <v>19</v>
      </c>
      <c r="H55" s="32">
        <v>4</v>
      </c>
      <c r="I55" s="34">
        <v>89.99</v>
      </c>
      <c r="J55" s="32" t="s">
        <v>57</v>
      </c>
      <c r="K55" s="32" t="s">
        <v>35</v>
      </c>
      <c r="L55" s="32" t="s">
        <v>22</v>
      </c>
      <c r="M55" s="33">
        <v>45281</v>
      </c>
      <c r="N55" s="34">
        <v>359.96</v>
      </c>
    </row>
    <row r="56" spans="1:14" x14ac:dyDescent="0.3">
      <c r="A56" s="32" t="s">
        <v>173</v>
      </c>
      <c r="B56" s="33">
        <v>45469</v>
      </c>
      <c r="C56" s="32" t="s">
        <v>29</v>
      </c>
      <c r="D56" s="32" t="s">
        <v>30</v>
      </c>
      <c r="E56" s="32" t="s">
        <v>114</v>
      </c>
      <c r="F56" s="32" t="s">
        <v>115</v>
      </c>
      <c r="G56" s="32" t="s">
        <v>33</v>
      </c>
      <c r="H56" s="32">
        <v>1</v>
      </c>
      <c r="I56" s="34">
        <v>79.989999999999995</v>
      </c>
      <c r="J56" s="32" t="s">
        <v>34</v>
      </c>
      <c r="K56" s="32" t="s">
        <v>21</v>
      </c>
      <c r="L56" s="32" t="s">
        <v>27</v>
      </c>
      <c r="M56" s="33">
        <v>45352</v>
      </c>
      <c r="N56" s="34">
        <v>79.989999999999995</v>
      </c>
    </row>
    <row r="57" spans="1:14" x14ac:dyDescent="0.3">
      <c r="A57" s="32" t="s">
        <v>174</v>
      </c>
      <c r="B57" s="33">
        <v>45469</v>
      </c>
      <c r="C57" s="32" t="s">
        <v>59</v>
      </c>
      <c r="D57" s="32" t="s">
        <v>60</v>
      </c>
      <c r="E57" s="32" t="s">
        <v>117</v>
      </c>
      <c r="F57" s="32" t="s">
        <v>118</v>
      </c>
      <c r="G57" s="32" t="s">
        <v>19</v>
      </c>
      <c r="H57" s="32">
        <v>2</v>
      </c>
      <c r="I57" s="34">
        <v>89.99</v>
      </c>
      <c r="J57" s="32" t="s">
        <v>20</v>
      </c>
      <c r="K57" s="32" t="s">
        <v>50</v>
      </c>
      <c r="L57" s="32" t="s">
        <v>22</v>
      </c>
      <c r="M57" s="33">
        <v>44438</v>
      </c>
      <c r="N57" s="34">
        <v>179.98</v>
      </c>
    </row>
    <row r="58" spans="1:14" x14ac:dyDescent="0.3">
      <c r="A58" s="32" t="s">
        <v>175</v>
      </c>
      <c r="B58" s="33">
        <v>45471</v>
      </c>
      <c r="C58" s="32" t="s">
        <v>38</v>
      </c>
      <c r="D58" s="32" t="s">
        <v>39</v>
      </c>
      <c r="E58" s="32" t="s">
        <v>80</v>
      </c>
      <c r="F58" s="32" t="s">
        <v>81</v>
      </c>
      <c r="G58" s="32" t="s">
        <v>19</v>
      </c>
      <c r="H58" s="32">
        <v>3</v>
      </c>
      <c r="I58" s="34">
        <v>699.99</v>
      </c>
      <c r="J58" s="32" t="s">
        <v>26</v>
      </c>
      <c r="K58" s="32" t="s">
        <v>63</v>
      </c>
      <c r="L58" s="32" t="s">
        <v>27</v>
      </c>
      <c r="M58" s="33">
        <v>45102</v>
      </c>
      <c r="N58" s="34">
        <v>2099.9699999999998</v>
      </c>
    </row>
    <row r="59" spans="1:14" x14ac:dyDescent="0.3">
      <c r="A59" s="32" t="s">
        <v>176</v>
      </c>
      <c r="B59" s="33">
        <v>45471</v>
      </c>
      <c r="C59" s="32" t="s">
        <v>99</v>
      </c>
      <c r="D59" s="32" t="s">
        <v>100</v>
      </c>
      <c r="E59" s="32" t="s">
        <v>61</v>
      </c>
      <c r="F59" s="32" t="s">
        <v>62</v>
      </c>
      <c r="G59" s="32" t="s">
        <v>19</v>
      </c>
      <c r="H59" s="32">
        <v>4</v>
      </c>
      <c r="I59" s="34">
        <v>899.99</v>
      </c>
      <c r="J59" s="32" t="s">
        <v>26</v>
      </c>
      <c r="K59" s="32" t="s">
        <v>63</v>
      </c>
      <c r="L59" s="32" t="s">
        <v>27</v>
      </c>
      <c r="M59" s="33">
        <v>44993</v>
      </c>
      <c r="N59" s="34">
        <v>3599.96</v>
      </c>
    </row>
    <row r="60" spans="1:14" x14ac:dyDescent="0.3">
      <c r="A60" s="32" t="s">
        <v>177</v>
      </c>
      <c r="B60" s="33">
        <v>45472</v>
      </c>
      <c r="C60" s="32" t="s">
        <v>120</v>
      </c>
      <c r="D60" s="32" t="s">
        <v>121</v>
      </c>
      <c r="E60" s="32" t="s">
        <v>44</v>
      </c>
      <c r="F60" s="32" t="s">
        <v>45</v>
      </c>
      <c r="G60" s="32" t="s">
        <v>46</v>
      </c>
      <c r="H60" s="32">
        <v>1</v>
      </c>
      <c r="I60" s="34">
        <v>149.99</v>
      </c>
      <c r="J60" s="32" t="s">
        <v>34</v>
      </c>
      <c r="K60" s="32" t="s">
        <v>63</v>
      </c>
      <c r="L60" s="32" t="s">
        <v>22</v>
      </c>
      <c r="M60" s="33">
        <v>44851</v>
      </c>
      <c r="N60" s="34">
        <v>149.99</v>
      </c>
    </row>
    <row r="61" spans="1:14" x14ac:dyDescent="0.3">
      <c r="A61" s="32" t="s">
        <v>178</v>
      </c>
      <c r="B61" s="33">
        <v>45474</v>
      </c>
      <c r="C61" s="32" t="s">
        <v>132</v>
      </c>
      <c r="D61" s="32" t="s">
        <v>133</v>
      </c>
      <c r="E61" s="32" t="s">
        <v>117</v>
      </c>
      <c r="F61" s="32" t="s">
        <v>118</v>
      </c>
      <c r="G61" s="32" t="s">
        <v>19</v>
      </c>
      <c r="H61" s="32">
        <v>2</v>
      </c>
      <c r="I61" s="34">
        <v>89.99</v>
      </c>
      <c r="J61" s="32" t="s">
        <v>34</v>
      </c>
      <c r="K61" s="32" t="s">
        <v>21</v>
      </c>
      <c r="L61" s="32" t="s">
        <v>27</v>
      </c>
      <c r="M61" s="33">
        <v>45275</v>
      </c>
      <c r="N61" s="34">
        <v>179.98</v>
      </c>
    </row>
    <row r="62" spans="1:14" x14ac:dyDescent="0.3">
      <c r="A62" s="32" t="s">
        <v>179</v>
      </c>
      <c r="B62" s="33">
        <v>45475</v>
      </c>
      <c r="C62" s="32" t="s">
        <v>55</v>
      </c>
      <c r="D62" s="32" t="s">
        <v>56</v>
      </c>
      <c r="E62" s="32" t="s">
        <v>117</v>
      </c>
      <c r="F62" s="32" t="s">
        <v>118</v>
      </c>
      <c r="G62" s="32" t="s">
        <v>19</v>
      </c>
      <c r="H62" s="32">
        <v>1</v>
      </c>
      <c r="I62" s="34">
        <v>89.99</v>
      </c>
      <c r="J62" s="32" t="s">
        <v>34</v>
      </c>
      <c r="K62" s="32" t="s">
        <v>50</v>
      </c>
      <c r="L62" s="32" t="s">
        <v>36</v>
      </c>
      <c r="M62" s="33">
        <v>44802</v>
      </c>
      <c r="N62" s="34">
        <v>89.99</v>
      </c>
    </row>
    <row r="63" spans="1:14" x14ac:dyDescent="0.3">
      <c r="A63" s="32" t="s">
        <v>180</v>
      </c>
      <c r="B63" s="33">
        <v>45476</v>
      </c>
      <c r="C63" s="32" t="s">
        <v>68</v>
      </c>
      <c r="D63" s="32" t="s">
        <v>69</v>
      </c>
      <c r="E63" s="32" t="s">
        <v>117</v>
      </c>
      <c r="F63" s="32" t="s">
        <v>118</v>
      </c>
      <c r="G63" s="32" t="s">
        <v>19</v>
      </c>
      <c r="H63" s="32">
        <v>1</v>
      </c>
      <c r="I63" s="34">
        <v>89.99</v>
      </c>
      <c r="J63" s="32" t="s">
        <v>20</v>
      </c>
      <c r="K63" s="32" t="s">
        <v>35</v>
      </c>
      <c r="L63" s="32" t="s">
        <v>36</v>
      </c>
      <c r="M63" s="33">
        <v>44611</v>
      </c>
      <c r="N63" s="34">
        <v>89.99</v>
      </c>
    </row>
    <row r="64" spans="1:14" x14ac:dyDescent="0.3">
      <c r="A64" s="32" t="s">
        <v>181</v>
      </c>
      <c r="B64" s="33">
        <v>45476</v>
      </c>
      <c r="C64" s="32" t="s">
        <v>182</v>
      </c>
      <c r="D64" s="32" t="s">
        <v>183</v>
      </c>
      <c r="E64" s="32" t="s">
        <v>114</v>
      </c>
      <c r="F64" s="32" t="s">
        <v>115</v>
      </c>
      <c r="G64" s="32" t="s">
        <v>33</v>
      </c>
      <c r="H64" s="32">
        <v>5</v>
      </c>
      <c r="I64" s="34">
        <v>79.989999999999995</v>
      </c>
      <c r="J64" s="32" t="s">
        <v>57</v>
      </c>
      <c r="K64" s="32" t="s">
        <v>21</v>
      </c>
      <c r="L64" s="32" t="s">
        <v>22</v>
      </c>
      <c r="M64" s="33">
        <v>44981</v>
      </c>
      <c r="N64" s="34">
        <v>399.95</v>
      </c>
    </row>
    <row r="65" spans="1:14" x14ac:dyDescent="0.3">
      <c r="A65" s="32" t="s">
        <v>184</v>
      </c>
      <c r="B65" s="33">
        <v>45481</v>
      </c>
      <c r="C65" s="32" t="s">
        <v>185</v>
      </c>
      <c r="D65" s="32" t="s">
        <v>186</v>
      </c>
      <c r="E65" s="32" t="s">
        <v>44</v>
      </c>
      <c r="F65" s="32" t="s">
        <v>45</v>
      </c>
      <c r="G65" s="32" t="s">
        <v>46</v>
      </c>
      <c r="H65" s="32">
        <v>1</v>
      </c>
      <c r="I65" s="34">
        <v>149.99</v>
      </c>
      <c r="J65" s="32" t="s">
        <v>34</v>
      </c>
      <c r="K65" s="32" t="s">
        <v>40</v>
      </c>
      <c r="L65" s="32" t="s">
        <v>22</v>
      </c>
      <c r="M65" s="33">
        <v>44421</v>
      </c>
      <c r="N65" s="34">
        <v>149.99</v>
      </c>
    </row>
    <row r="66" spans="1:14" x14ac:dyDescent="0.3">
      <c r="A66" s="32" t="s">
        <v>187</v>
      </c>
      <c r="B66" s="33">
        <v>45481</v>
      </c>
      <c r="C66" s="32" t="s">
        <v>42</v>
      </c>
      <c r="D66" s="32" t="s">
        <v>43</v>
      </c>
      <c r="E66" s="32" t="s">
        <v>80</v>
      </c>
      <c r="F66" s="32" t="s">
        <v>81</v>
      </c>
      <c r="G66" s="32" t="s">
        <v>19</v>
      </c>
      <c r="H66" s="32">
        <v>2</v>
      </c>
      <c r="I66" s="34">
        <v>699.99</v>
      </c>
      <c r="J66" s="32" t="s">
        <v>34</v>
      </c>
      <c r="K66" s="32" t="s">
        <v>63</v>
      </c>
      <c r="L66" s="32" t="s">
        <v>27</v>
      </c>
      <c r="M66" s="33">
        <v>45389</v>
      </c>
      <c r="N66" s="34">
        <v>1399.98</v>
      </c>
    </row>
    <row r="67" spans="1:14" x14ac:dyDescent="0.3">
      <c r="A67" s="32" t="s">
        <v>188</v>
      </c>
      <c r="B67" s="33">
        <v>45481</v>
      </c>
      <c r="C67" s="32" t="s">
        <v>96</v>
      </c>
      <c r="D67" s="32" t="s">
        <v>97</v>
      </c>
      <c r="E67" s="32" t="s">
        <v>117</v>
      </c>
      <c r="F67" s="32" t="s">
        <v>118</v>
      </c>
      <c r="G67" s="32" t="s">
        <v>19</v>
      </c>
      <c r="H67" s="32">
        <v>5</v>
      </c>
      <c r="I67" s="34">
        <v>89.99</v>
      </c>
      <c r="J67" s="32" t="s">
        <v>57</v>
      </c>
      <c r="K67" s="32" t="s">
        <v>40</v>
      </c>
      <c r="L67" s="32" t="s">
        <v>27</v>
      </c>
      <c r="M67" s="33">
        <v>45161</v>
      </c>
      <c r="N67" s="34">
        <v>449.95</v>
      </c>
    </row>
    <row r="68" spans="1:14" x14ac:dyDescent="0.3">
      <c r="A68" s="32" t="s">
        <v>189</v>
      </c>
      <c r="B68" s="33">
        <v>45482</v>
      </c>
      <c r="C68" s="32" t="s">
        <v>171</v>
      </c>
      <c r="D68" s="32" t="s">
        <v>172</v>
      </c>
      <c r="E68" s="32" t="s">
        <v>31</v>
      </c>
      <c r="F68" s="32" t="s">
        <v>32</v>
      </c>
      <c r="G68" s="32" t="s">
        <v>33</v>
      </c>
      <c r="H68" s="32">
        <v>4</v>
      </c>
      <c r="I68" s="34">
        <v>59.99</v>
      </c>
      <c r="J68" s="32" t="s">
        <v>20</v>
      </c>
      <c r="K68" s="32" t="s">
        <v>35</v>
      </c>
      <c r="L68" s="32" t="s">
        <v>36</v>
      </c>
      <c r="M68" s="33">
        <v>44509</v>
      </c>
      <c r="N68" s="34">
        <v>239.96</v>
      </c>
    </row>
    <row r="69" spans="1:14" x14ac:dyDescent="0.3">
      <c r="A69" s="32" t="s">
        <v>190</v>
      </c>
      <c r="B69" s="33">
        <v>45484</v>
      </c>
      <c r="C69" s="32" t="s">
        <v>24</v>
      </c>
      <c r="D69" s="32" t="s">
        <v>25</v>
      </c>
      <c r="E69" s="32" t="s">
        <v>52</v>
      </c>
      <c r="F69" s="32" t="s">
        <v>53</v>
      </c>
      <c r="G69" s="32" t="s">
        <v>19</v>
      </c>
      <c r="H69" s="32">
        <v>1</v>
      </c>
      <c r="I69" s="34">
        <v>149.99</v>
      </c>
      <c r="J69" s="32" t="s">
        <v>20</v>
      </c>
      <c r="K69" s="32" t="s">
        <v>21</v>
      </c>
      <c r="L69" s="32" t="s">
        <v>36</v>
      </c>
      <c r="M69" s="33">
        <v>44909</v>
      </c>
      <c r="N69" s="34">
        <v>149.99</v>
      </c>
    </row>
    <row r="70" spans="1:14" x14ac:dyDescent="0.3">
      <c r="A70" s="32" t="s">
        <v>191</v>
      </c>
      <c r="B70" s="33">
        <v>45484</v>
      </c>
      <c r="C70" s="32" t="s">
        <v>192</v>
      </c>
      <c r="D70" s="32" t="s">
        <v>193</v>
      </c>
      <c r="E70" s="32" t="s">
        <v>105</v>
      </c>
      <c r="F70" s="32" t="s">
        <v>106</v>
      </c>
      <c r="G70" s="32" t="s">
        <v>46</v>
      </c>
      <c r="H70" s="32">
        <v>1</v>
      </c>
      <c r="I70" s="34">
        <v>299.99</v>
      </c>
      <c r="J70" s="32" t="s">
        <v>26</v>
      </c>
      <c r="K70" s="32" t="s">
        <v>40</v>
      </c>
      <c r="L70" s="32" t="s">
        <v>27</v>
      </c>
      <c r="M70" s="33">
        <v>44891</v>
      </c>
      <c r="N70" s="34">
        <v>299.99</v>
      </c>
    </row>
    <row r="71" spans="1:14" x14ac:dyDescent="0.3">
      <c r="A71" s="32" t="s">
        <v>194</v>
      </c>
      <c r="B71" s="33">
        <v>45487</v>
      </c>
      <c r="C71" s="32" t="s">
        <v>192</v>
      </c>
      <c r="D71" s="32" t="s">
        <v>193</v>
      </c>
      <c r="E71" s="32" t="s">
        <v>126</v>
      </c>
      <c r="F71" s="32" t="s">
        <v>127</v>
      </c>
      <c r="G71" s="32" t="s">
        <v>46</v>
      </c>
      <c r="H71" s="32">
        <v>2</v>
      </c>
      <c r="I71" s="34">
        <v>199.99</v>
      </c>
      <c r="J71" s="32" t="s">
        <v>20</v>
      </c>
      <c r="K71" s="32" t="s">
        <v>40</v>
      </c>
      <c r="L71" s="32" t="s">
        <v>22</v>
      </c>
      <c r="M71" s="33">
        <v>44541</v>
      </c>
      <c r="N71" s="34">
        <v>399.98</v>
      </c>
    </row>
    <row r="72" spans="1:14" x14ac:dyDescent="0.3">
      <c r="A72" s="32" t="s">
        <v>195</v>
      </c>
      <c r="B72" s="33">
        <v>45490</v>
      </c>
      <c r="C72" s="32" t="s">
        <v>196</v>
      </c>
      <c r="D72" s="32" t="s">
        <v>197</v>
      </c>
      <c r="E72" s="32" t="s">
        <v>31</v>
      </c>
      <c r="F72" s="32" t="s">
        <v>32</v>
      </c>
      <c r="G72" s="32" t="s">
        <v>33</v>
      </c>
      <c r="H72" s="32">
        <v>3</v>
      </c>
      <c r="I72" s="34">
        <v>59.99</v>
      </c>
      <c r="J72" s="32" t="s">
        <v>26</v>
      </c>
      <c r="K72" s="32" t="s">
        <v>50</v>
      </c>
      <c r="L72" s="32" t="s">
        <v>22</v>
      </c>
      <c r="M72" s="33">
        <v>45130</v>
      </c>
      <c r="N72" s="34">
        <v>179.97</v>
      </c>
    </row>
    <row r="73" spans="1:14" x14ac:dyDescent="0.3">
      <c r="A73" s="32" t="s">
        <v>198</v>
      </c>
      <c r="B73" s="33">
        <v>45490</v>
      </c>
      <c r="C73" s="32" t="s">
        <v>72</v>
      </c>
      <c r="D73" s="32" t="s">
        <v>73</v>
      </c>
      <c r="E73" s="32" t="s">
        <v>44</v>
      </c>
      <c r="F73" s="32" t="s">
        <v>45</v>
      </c>
      <c r="G73" s="32" t="s">
        <v>46</v>
      </c>
      <c r="H73" s="32">
        <v>3</v>
      </c>
      <c r="I73" s="34">
        <v>149.99</v>
      </c>
      <c r="J73" s="32" t="s">
        <v>20</v>
      </c>
      <c r="K73" s="32" t="s">
        <v>21</v>
      </c>
      <c r="L73" s="32" t="s">
        <v>27</v>
      </c>
      <c r="M73" s="33">
        <v>45199</v>
      </c>
      <c r="N73" s="34">
        <v>449.97</v>
      </c>
    </row>
    <row r="74" spans="1:14" x14ac:dyDescent="0.3">
      <c r="A74" s="32" t="s">
        <v>199</v>
      </c>
      <c r="B74" s="33">
        <v>45491</v>
      </c>
      <c r="C74" s="32" t="s">
        <v>65</v>
      </c>
      <c r="D74" s="32" t="s">
        <v>66</v>
      </c>
      <c r="E74" s="32" t="s">
        <v>126</v>
      </c>
      <c r="F74" s="32" t="s">
        <v>127</v>
      </c>
      <c r="G74" s="32" t="s">
        <v>46</v>
      </c>
      <c r="H74" s="32">
        <v>3</v>
      </c>
      <c r="I74" s="34">
        <v>199.99</v>
      </c>
      <c r="J74" s="32" t="s">
        <v>20</v>
      </c>
      <c r="K74" s="32" t="s">
        <v>40</v>
      </c>
      <c r="L74" s="32" t="s">
        <v>27</v>
      </c>
      <c r="M74" s="33">
        <v>45254</v>
      </c>
      <c r="N74" s="34">
        <v>599.97</v>
      </c>
    </row>
    <row r="75" spans="1:14" x14ac:dyDescent="0.3">
      <c r="A75" s="32" t="s">
        <v>200</v>
      </c>
      <c r="B75" s="33">
        <v>45496</v>
      </c>
      <c r="C75" s="32" t="s">
        <v>150</v>
      </c>
      <c r="D75" s="32" t="s">
        <v>151</v>
      </c>
      <c r="E75" s="32" t="s">
        <v>61</v>
      </c>
      <c r="F75" s="32" t="s">
        <v>62</v>
      </c>
      <c r="G75" s="32" t="s">
        <v>19</v>
      </c>
      <c r="H75" s="32">
        <v>1</v>
      </c>
      <c r="I75" s="34">
        <v>899.99</v>
      </c>
      <c r="J75" s="32" t="s">
        <v>20</v>
      </c>
      <c r="K75" s="32" t="s">
        <v>21</v>
      </c>
      <c r="L75" s="32" t="s">
        <v>36</v>
      </c>
      <c r="M75" s="33">
        <v>45179</v>
      </c>
      <c r="N75" s="34">
        <v>899.99</v>
      </c>
    </row>
    <row r="76" spans="1:14" x14ac:dyDescent="0.3">
      <c r="A76" s="32" t="s">
        <v>201</v>
      </c>
      <c r="B76" s="33">
        <v>45497</v>
      </c>
      <c r="C76" s="32" t="s">
        <v>24</v>
      </c>
      <c r="D76" s="32" t="s">
        <v>25</v>
      </c>
      <c r="E76" s="32" t="s">
        <v>61</v>
      </c>
      <c r="F76" s="32" t="s">
        <v>62</v>
      </c>
      <c r="G76" s="32" t="s">
        <v>19</v>
      </c>
      <c r="H76" s="32">
        <v>5</v>
      </c>
      <c r="I76" s="34">
        <v>899.99</v>
      </c>
      <c r="J76" s="32" t="s">
        <v>57</v>
      </c>
      <c r="K76" s="32" t="s">
        <v>35</v>
      </c>
      <c r="L76" s="32" t="s">
        <v>36</v>
      </c>
      <c r="M76" s="33">
        <v>44899</v>
      </c>
      <c r="N76" s="34">
        <v>4499.95</v>
      </c>
    </row>
    <row r="77" spans="1:14" x14ac:dyDescent="0.3">
      <c r="A77" s="32" t="s">
        <v>202</v>
      </c>
      <c r="B77" s="33">
        <v>45498</v>
      </c>
      <c r="C77" s="32" t="s">
        <v>182</v>
      </c>
      <c r="D77" s="32" t="s">
        <v>183</v>
      </c>
      <c r="E77" s="32" t="s">
        <v>31</v>
      </c>
      <c r="F77" s="32" t="s">
        <v>32</v>
      </c>
      <c r="G77" s="32" t="s">
        <v>33</v>
      </c>
      <c r="H77" s="32">
        <v>2</v>
      </c>
      <c r="I77" s="34">
        <v>59.99</v>
      </c>
      <c r="J77" s="32" t="s">
        <v>20</v>
      </c>
      <c r="K77" s="32" t="s">
        <v>40</v>
      </c>
      <c r="L77" s="32" t="s">
        <v>36</v>
      </c>
      <c r="M77" s="33">
        <v>45152</v>
      </c>
      <c r="N77" s="34">
        <v>119.98</v>
      </c>
    </row>
    <row r="78" spans="1:14" x14ac:dyDescent="0.3">
      <c r="A78" s="32" t="s">
        <v>203</v>
      </c>
      <c r="B78" s="33">
        <v>45498</v>
      </c>
      <c r="C78" s="32" t="s">
        <v>196</v>
      </c>
      <c r="D78" s="32" t="s">
        <v>197</v>
      </c>
      <c r="E78" s="32" t="s">
        <v>17</v>
      </c>
      <c r="F78" s="32" t="s">
        <v>18</v>
      </c>
      <c r="G78" s="32" t="s">
        <v>19</v>
      </c>
      <c r="H78" s="32">
        <v>4</v>
      </c>
      <c r="I78" s="34">
        <v>249.99</v>
      </c>
      <c r="J78" s="32" t="s">
        <v>57</v>
      </c>
      <c r="K78" s="32" t="s">
        <v>21</v>
      </c>
      <c r="L78" s="32" t="s">
        <v>36</v>
      </c>
      <c r="M78" s="33">
        <v>45127</v>
      </c>
      <c r="N78" s="34">
        <v>999.96</v>
      </c>
    </row>
    <row r="79" spans="1:14" x14ac:dyDescent="0.3">
      <c r="A79" s="32" t="s">
        <v>204</v>
      </c>
      <c r="B79" s="33">
        <v>45500</v>
      </c>
      <c r="C79" s="32" t="s">
        <v>96</v>
      </c>
      <c r="D79" s="32" t="s">
        <v>97</v>
      </c>
      <c r="E79" s="32" t="s">
        <v>17</v>
      </c>
      <c r="F79" s="32" t="s">
        <v>18</v>
      </c>
      <c r="G79" s="32" t="s">
        <v>19</v>
      </c>
      <c r="H79" s="32">
        <v>2</v>
      </c>
      <c r="I79" s="34">
        <v>249.99</v>
      </c>
      <c r="J79" s="32" t="s">
        <v>20</v>
      </c>
      <c r="K79" s="32" t="s">
        <v>40</v>
      </c>
      <c r="L79" s="32" t="s">
        <v>27</v>
      </c>
      <c r="M79" s="33">
        <v>45164</v>
      </c>
      <c r="N79" s="34">
        <v>499.98</v>
      </c>
    </row>
    <row r="80" spans="1:14" x14ac:dyDescent="0.3">
      <c r="A80" s="32" t="s">
        <v>205</v>
      </c>
      <c r="B80" s="33">
        <v>45500</v>
      </c>
      <c r="C80" s="32" t="s">
        <v>147</v>
      </c>
      <c r="D80" s="32" t="s">
        <v>148</v>
      </c>
      <c r="E80" s="32" t="s">
        <v>105</v>
      </c>
      <c r="F80" s="32" t="s">
        <v>106</v>
      </c>
      <c r="G80" s="32" t="s">
        <v>46</v>
      </c>
      <c r="H80" s="32">
        <v>1</v>
      </c>
      <c r="I80" s="34">
        <v>299.99</v>
      </c>
      <c r="J80" s="32" t="s">
        <v>20</v>
      </c>
      <c r="K80" s="32" t="s">
        <v>35</v>
      </c>
      <c r="L80" s="32" t="s">
        <v>22</v>
      </c>
      <c r="M80" s="33">
        <v>44982</v>
      </c>
      <c r="N80" s="34">
        <v>299.99</v>
      </c>
    </row>
    <row r="81" spans="1:14" x14ac:dyDescent="0.3">
      <c r="A81" s="32" t="s">
        <v>206</v>
      </c>
      <c r="B81" s="33">
        <v>45501</v>
      </c>
      <c r="C81" s="32" t="s">
        <v>86</v>
      </c>
      <c r="D81" s="32" t="s">
        <v>87</v>
      </c>
      <c r="E81" s="32" t="s">
        <v>117</v>
      </c>
      <c r="F81" s="32" t="s">
        <v>118</v>
      </c>
      <c r="G81" s="32" t="s">
        <v>19</v>
      </c>
      <c r="H81" s="32">
        <v>2</v>
      </c>
      <c r="I81" s="34">
        <v>89.99</v>
      </c>
      <c r="J81" s="32" t="s">
        <v>34</v>
      </c>
      <c r="K81" s="32" t="s">
        <v>35</v>
      </c>
      <c r="L81" s="32" t="s">
        <v>22</v>
      </c>
      <c r="M81" s="33">
        <v>44976</v>
      </c>
      <c r="N81" s="34">
        <v>179.98</v>
      </c>
    </row>
    <row r="82" spans="1:14" x14ac:dyDescent="0.3">
      <c r="A82" s="32" t="s">
        <v>207</v>
      </c>
      <c r="B82" s="33">
        <v>45501</v>
      </c>
      <c r="C82" s="32" t="s">
        <v>147</v>
      </c>
      <c r="D82" s="32" t="s">
        <v>148</v>
      </c>
      <c r="E82" s="32" t="s">
        <v>105</v>
      </c>
      <c r="F82" s="32" t="s">
        <v>106</v>
      </c>
      <c r="G82" s="32" t="s">
        <v>46</v>
      </c>
      <c r="H82" s="32">
        <v>3</v>
      </c>
      <c r="I82" s="34">
        <v>299.99</v>
      </c>
      <c r="J82" s="32" t="s">
        <v>20</v>
      </c>
      <c r="K82" s="32" t="s">
        <v>21</v>
      </c>
      <c r="L82" s="32" t="s">
        <v>22</v>
      </c>
      <c r="M82" s="33">
        <v>44732</v>
      </c>
      <c r="N82" s="34">
        <v>899.97</v>
      </c>
    </row>
    <row r="83" spans="1:14" x14ac:dyDescent="0.3">
      <c r="A83" s="32" t="s">
        <v>208</v>
      </c>
      <c r="B83" s="33">
        <v>45503</v>
      </c>
      <c r="C83" s="32" t="s">
        <v>86</v>
      </c>
      <c r="D83" s="32" t="s">
        <v>87</v>
      </c>
      <c r="E83" s="32" t="s">
        <v>80</v>
      </c>
      <c r="F83" s="32" t="s">
        <v>81</v>
      </c>
      <c r="G83" s="32" t="s">
        <v>19</v>
      </c>
      <c r="H83" s="32">
        <v>2</v>
      </c>
      <c r="I83" s="34">
        <v>699.99</v>
      </c>
      <c r="J83" s="32" t="s">
        <v>26</v>
      </c>
      <c r="K83" s="32" t="s">
        <v>40</v>
      </c>
      <c r="L83" s="32" t="s">
        <v>27</v>
      </c>
      <c r="M83" s="33">
        <v>44999</v>
      </c>
      <c r="N83" s="34">
        <v>1399.98</v>
      </c>
    </row>
    <row r="84" spans="1:14" x14ac:dyDescent="0.3">
      <c r="A84" s="32" t="s">
        <v>209</v>
      </c>
      <c r="B84" s="33">
        <v>45504</v>
      </c>
      <c r="C84" s="32" t="s">
        <v>120</v>
      </c>
      <c r="D84" s="32" t="s">
        <v>121</v>
      </c>
      <c r="E84" s="32" t="s">
        <v>61</v>
      </c>
      <c r="F84" s="32" t="s">
        <v>62</v>
      </c>
      <c r="G84" s="32" t="s">
        <v>19</v>
      </c>
      <c r="H84" s="32">
        <v>4</v>
      </c>
      <c r="I84" s="34">
        <v>899.99</v>
      </c>
      <c r="J84" s="32" t="s">
        <v>57</v>
      </c>
      <c r="K84" s="32" t="s">
        <v>35</v>
      </c>
      <c r="L84" s="32" t="s">
        <v>36</v>
      </c>
      <c r="M84" s="33">
        <v>44523</v>
      </c>
      <c r="N84" s="34">
        <v>3599.96</v>
      </c>
    </row>
    <row r="85" spans="1:14" x14ac:dyDescent="0.3">
      <c r="A85" s="32" t="s">
        <v>210</v>
      </c>
      <c r="B85" s="33">
        <v>45509</v>
      </c>
      <c r="C85" s="32" t="s">
        <v>211</v>
      </c>
      <c r="D85" s="32" t="s">
        <v>212</v>
      </c>
      <c r="E85" s="32" t="s">
        <v>44</v>
      </c>
      <c r="F85" s="32" t="s">
        <v>45</v>
      </c>
      <c r="G85" s="32" t="s">
        <v>46</v>
      </c>
      <c r="H85" s="32">
        <v>2</v>
      </c>
      <c r="I85" s="34">
        <v>149.99</v>
      </c>
      <c r="J85" s="32" t="s">
        <v>26</v>
      </c>
      <c r="K85" s="32" t="s">
        <v>50</v>
      </c>
      <c r="L85" s="32" t="s">
        <v>22</v>
      </c>
      <c r="M85" s="33">
        <v>44542</v>
      </c>
      <c r="N85" s="34">
        <v>299.98</v>
      </c>
    </row>
    <row r="86" spans="1:14" x14ac:dyDescent="0.3">
      <c r="A86" s="32" t="s">
        <v>213</v>
      </c>
      <c r="B86" s="33">
        <v>45510</v>
      </c>
      <c r="C86" s="32" t="s">
        <v>102</v>
      </c>
      <c r="D86" s="32" t="s">
        <v>103</v>
      </c>
      <c r="E86" s="32" t="s">
        <v>44</v>
      </c>
      <c r="F86" s="32" t="s">
        <v>45</v>
      </c>
      <c r="G86" s="32" t="s">
        <v>46</v>
      </c>
      <c r="H86" s="32">
        <v>2</v>
      </c>
      <c r="I86" s="34">
        <v>149.99</v>
      </c>
      <c r="J86" s="32" t="s">
        <v>57</v>
      </c>
      <c r="K86" s="32" t="s">
        <v>63</v>
      </c>
      <c r="L86" s="32" t="s">
        <v>36</v>
      </c>
      <c r="M86" s="33">
        <v>44667</v>
      </c>
      <c r="N86" s="34">
        <v>299.98</v>
      </c>
    </row>
    <row r="87" spans="1:14" x14ac:dyDescent="0.3">
      <c r="A87" s="32" t="s">
        <v>214</v>
      </c>
      <c r="B87" s="33">
        <v>45513</v>
      </c>
      <c r="C87" s="32" t="s">
        <v>89</v>
      </c>
      <c r="D87" s="32" t="s">
        <v>90</v>
      </c>
      <c r="E87" s="32" t="s">
        <v>117</v>
      </c>
      <c r="F87" s="32" t="s">
        <v>118</v>
      </c>
      <c r="G87" s="32" t="s">
        <v>19</v>
      </c>
      <c r="H87" s="32">
        <v>1</v>
      </c>
      <c r="I87" s="34">
        <v>89.99</v>
      </c>
      <c r="J87" s="32" t="s">
        <v>26</v>
      </c>
      <c r="K87" s="32" t="s">
        <v>40</v>
      </c>
      <c r="L87" s="32" t="s">
        <v>36</v>
      </c>
      <c r="M87" s="33">
        <v>45393</v>
      </c>
      <c r="N87" s="34">
        <v>89.99</v>
      </c>
    </row>
    <row r="88" spans="1:14" x14ac:dyDescent="0.3">
      <c r="A88" s="32" t="s">
        <v>215</v>
      </c>
      <c r="B88" s="33">
        <v>45515</v>
      </c>
      <c r="C88" s="32" t="s">
        <v>86</v>
      </c>
      <c r="D88" s="32" t="s">
        <v>87</v>
      </c>
      <c r="E88" s="32" t="s">
        <v>105</v>
      </c>
      <c r="F88" s="32" t="s">
        <v>106</v>
      </c>
      <c r="G88" s="32" t="s">
        <v>46</v>
      </c>
      <c r="H88" s="32">
        <v>5</v>
      </c>
      <c r="I88" s="34">
        <v>299.99</v>
      </c>
      <c r="J88" s="32" t="s">
        <v>26</v>
      </c>
      <c r="K88" s="32" t="s">
        <v>40</v>
      </c>
      <c r="L88" s="32" t="s">
        <v>22</v>
      </c>
      <c r="M88" s="33">
        <v>44965</v>
      </c>
      <c r="N88" s="34">
        <v>1499.95</v>
      </c>
    </row>
    <row r="89" spans="1:14" x14ac:dyDescent="0.3">
      <c r="A89" s="32" t="s">
        <v>216</v>
      </c>
      <c r="B89" s="33">
        <v>45517</v>
      </c>
      <c r="C89" s="32" t="s">
        <v>182</v>
      </c>
      <c r="D89" s="32" t="s">
        <v>183</v>
      </c>
      <c r="E89" s="32" t="s">
        <v>52</v>
      </c>
      <c r="F89" s="32" t="s">
        <v>53</v>
      </c>
      <c r="G89" s="32" t="s">
        <v>19</v>
      </c>
      <c r="H89" s="32">
        <v>4</v>
      </c>
      <c r="I89" s="34">
        <v>149.99</v>
      </c>
      <c r="J89" s="32" t="s">
        <v>57</v>
      </c>
      <c r="K89" s="32" t="s">
        <v>35</v>
      </c>
      <c r="L89" s="32" t="s">
        <v>27</v>
      </c>
      <c r="M89" s="33">
        <v>44820</v>
      </c>
      <c r="N89" s="34">
        <v>599.96</v>
      </c>
    </row>
    <row r="90" spans="1:14" x14ac:dyDescent="0.3">
      <c r="A90" s="32" t="s">
        <v>217</v>
      </c>
      <c r="B90" s="33">
        <v>45517</v>
      </c>
      <c r="C90" s="32" t="s">
        <v>185</v>
      </c>
      <c r="D90" s="32" t="s">
        <v>186</v>
      </c>
      <c r="E90" s="32" t="s">
        <v>17</v>
      </c>
      <c r="F90" s="32" t="s">
        <v>18</v>
      </c>
      <c r="G90" s="32" t="s">
        <v>19</v>
      </c>
      <c r="H90" s="32">
        <v>5</v>
      </c>
      <c r="I90" s="34">
        <v>249.99</v>
      </c>
      <c r="J90" s="32" t="s">
        <v>34</v>
      </c>
      <c r="K90" s="32" t="s">
        <v>63</v>
      </c>
      <c r="L90" s="32" t="s">
        <v>27</v>
      </c>
      <c r="M90" s="33">
        <v>44782</v>
      </c>
      <c r="N90" s="34">
        <v>1249.95</v>
      </c>
    </row>
    <row r="91" spans="1:14" x14ac:dyDescent="0.3">
      <c r="A91" s="32" t="s">
        <v>218</v>
      </c>
      <c r="B91" s="33">
        <v>45517</v>
      </c>
      <c r="C91" s="32" t="s">
        <v>65</v>
      </c>
      <c r="D91" s="32" t="s">
        <v>66</v>
      </c>
      <c r="E91" s="32" t="s">
        <v>17</v>
      </c>
      <c r="F91" s="32" t="s">
        <v>18</v>
      </c>
      <c r="G91" s="32" t="s">
        <v>19</v>
      </c>
      <c r="H91" s="32">
        <v>3</v>
      </c>
      <c r="I91" s="34">
        <v>249.99</v>
      </c>
      <c r="J91" s="32" t="s">
        <v>34</v>
      </c>
      <c r="K91" s="32" t="s">
        <v>40</v>
      </c>
      <c r="L91" s="32" t="s">
        <v>27</v>
      </c>
      <c r="M91" s="33">
        <v>44465</v>
      </c>
      <c r="N91" s="34">
        <v>749.97</v>
      </c>
    </row>
    <row r="92" spans="1:14" x14ac:dyDescent="0.3">
      <c r="A92" s="32" t="s">
        <v>219</v>
      </c>
      <c r="B92" s="33">
        <v>45517</v>
      </c>
      <c r="C92" s="32" t="s">
        <v>38</v>
      </c>
      <c r="D92" s="32" t="s">
        <v>39</v>
      </c>
      <c r="E92" s="32" t="s">
        <v>126</v>
      </c>
      <c r="F92" s="32" t="s">
        <v>127</v>
      </c>
      <c r="G92" s="32" t="s">
        <v>46</v>
      </c>
      <c r="H92" s="32">
        <v>4</v>
      </c>
      <c r="I92" s="34">
        <v>199.99</v>
      </c>
      <c r="J92" s="32" t="s">
        <v>20</v>
      </c>
      <c r="K92" s="32" t="s">
        <v>40</v>
      </c>
      <c r="L92" s="32" t="s">
        <v>36</v>
      </c>
      <c r="M92" s="33">
        <v>44458</v>
      </c>
      <c r="N92" s="34">
        <v>799.96</v>
      </c>
    </row>
    <row r="93" spans="1:14" x14ac:dyDescent="0.3">
      <c r="A93" s="32" t="s">
        <v>220</v>
      </c>
      <c r="B93" s="33">
        <v>45519</v>
      </c>
      <c r="C93" s="32" t="s">
        <v>158</v>
      </c>
      <c r="D93" s="32" t="s">
        <v>159</v>
      </c>
      <c r="E93" s="32" t="s">
        <v>126</v>
      </c>
      <c r="F93" s="32" t="s">
        <v>127</v>
      </c>
      <c r="G93" s="32" t="s">
        <v>46</v>
      </c>
      <c r="H93" s="32">
        <v>5</v>
      </c>
      <c r="I93" s="34">
        <v>199.99</v>
      </c>
      <c r="J93" s="32" t="s">
        <v>20</v>
      </c>
      <c r="K93" s="32" t="s">
        <v>40</v>
      </c>
      <c r="L93" s="32" t="s">
        <v>27</v>
      </c>
      <c r="M93" s="33">
        <v>44991</v>
      </c>
      <c r="N93" s="34">
        <v>999.95</v>
      </c>
    </row>
    <row r="94" spans="1:14" x14ac:dyDescent="0.3">
      <c r="A94" s="32" t="s">
        <v>221</v>
      </c>
      <c r="B94" s="33">
        <v>45522</v>
      </c>
      <c r="C94" s="32" t="s">
        <v>86</v>
      </c>
      <c r="D94" s="32" t="s">
        <v>87</v>
      </c>
      <c r="E94" s="32" t="s">
        <v>117</v>
      </c>
      <c r="F94" s="32" t="s">
        <v>118</v>
      </c>
      <c r="G94" s="32" t="s">
        <v>19</v>
      </c>
      <c r="H94" s="32">
        <v>2</v>
      </c>
      <c r="I94" s="34">
        <v>89.99</v>
      </c>
      <c r="J94" s="32" t="s">
        <v>20</v>
      </c>
      <c r="K94" s="32" t="s">
        <v>63</v>
      </c>
      <c r="L94" s="32" t="s">
        <v>27</v>
      </c>
      <c r="M94" s="33">
        <v>44972</v>
      </c>
      <c r="N94" s="34">
        <v>179.98</v>
      </c>
    </row>
    <row r="95" spans="1:14" x14ac:dyDescent="0.3">
      <c r="A95" s="32" t="s">
        <v>222</v>
      </c>
      <c r="B95" s="33">
        <v>45523</v>
      </c>
      <c r="C95" s="32" t="s">
        <v>196</v>
      </c>
      <c r="D95" s="32" t="s">
        <v>197</v>
      </c>
      <c r="E95" s="32" t="s">
        <v>61</v>
      </c>
      <c r="F95" s="32" t="s">
        <v>62</v>
      </c>
      <c r="G95" s="32" t="s">
        <v>19</v>
      </c>
      <c r="H95" s="32">
        <v>5</v>
      </c>
      <c r="I95" s="34">
        <v>899.99</v>
      </c>
      <c r="J95" s="32" t="s">
        <v>57</v>
      </c>
      <c r="K95" s="32" t="s">
        <v>63</v>
      </c>
      <c r="L95" s="32" t="s">
        <v>22</v>
      </c>
      <c r="M95" s="33">
        <v>44526</v>
      </c>
      <c r="N95" s="34">
        <v>4499.95</v>
      </c>
    </row>
    <row r="96" spans="1:14" x14ac:dyDescent="0.3">
      <c r="A96" s="32" t="s">
        <v>223</v>
      </c>
      <c r="B96" s="33">
        <v>45523</v>
      </c>
      <c r="C96" s="32" t="s">
        <v>108</v>
      </c>
      <c r="D96" s="32" t="s">
        <v>109</v>
      </c>
      <c r="E96" s="32" t="s">
        <v>52</v>
      </c>
      <c r="F96" s="32" t="s">
        <v>53</v>
      </c>
      <c r="G96" s="32" t="s">
        <v>19</v>
      </c>
      <c r="H96" s="32">
        <v>3</v>
      </c>
      <c r="I96" s="34">
        <v>149.99</v>
      </c>
      <c r="J96" s="32" t="s">
        <v>34</v>
      </c>
      <c r="K96" s="32" t="s">
        <v>63</v>
      </c>
      <c r="L96" s="32" t="s">
        <v>22</v>
      </c>
      <c r="M96" s="33">
        <v>44574</v>
      </c>
      <c r="N96" s="34">
        <v>449.97</v>
      </c>
    </row>
    <row r="97" spans="1:14" x14ac:dyDescent="0.3">
      <c r="A97" s="32" t="s">
        <v>224</v>
      </c>
      <c r="B97" s="33">
        <v>45526</v>
      </c>
      <c r="C97" s="32" t="s">
        <v>102</v>
      </c>
      <c r="D97" s="32" t="s">
        <v>103</v>
      </c>
      <c r="E97" s="32" t="s">
        <v>44</v>
      </c>
      <c r="F97" s="32" t="s">
        <v>45</v>
      </c>
      <c r="G97" s="32" t="s">
        <v>46</v>
      </c>
      <c r="H97" s="32">
        <v>5</v>
      </c>
      <c r="I97" s="34">
        <v>149.99</v>
      </c>
      <c r="J97" s="32" t="s">
        <v>26</v>
      </c>
      <c r="K97" s="32" t="s">
        <v>21</v>
      </c>
      <c r="L97" s="32" t="s">
        <v>22</v>
      </c>
      <c r="M97" s="33">
        <v>45310</v>
      </c>
      <c r="N97" s="34">
        <v>749.95</v>
      </c>
    </row>
    <row r="98" spans="1:14" x14ac:dyDescent="0.3">
      <c r="A98" s="32" t="s">
        <v>225</v>
      </c>
      <c r="B98" s="33">
        <v>45528</v>
      </c>
      <c r="C98" s="32" t="s">
        <v>226</v>
      </c>
      <c r="D98" s="32" t="s">
        <v>227</v>
      </c>
      <c r="E98" s="32" t="s">
        <v>114</v>
      </c>
      <c r="F98" s="32" t="s">
        <v>115</v>
      </c>
      <c r="G98" s="32" t="s">
        <v>33</v>
      </c>
      <c r="H98" s="32">
        <v>3</v>
      </c>
      <c r="I98" s="34">
        <v>79.989999999999995</v>
      </c>
      <c r="J98" s="32" t="s">
        <v>20</v>
      </c>
      <c r="K98" s="32" t="s">
        <v>21</v>
      </c>
      <c r="L98" s="32" t="s">
        <v>27</v>
      </c>
      <c r="M98" s="33">
        <v>44779</v>
      </c>
      <c r="N98" s="34">
        <v>239.97</v>
      </c>
    </row>
    <row r="99" spans="1:14" x14ac:dyDescent="0.3">
      <c r="A99" s="32" t="s">
        <v>228</v>
      </c>
      <c r="B99" s="33">
        <v>45528</v>
      </c>
      <c r="C99" s="32" t="s">
        <v>144</v>
      </c>
      <c r="D99" s="32" t="s">
        <v>145</v>
      </c>
      <c r="E99" s="32" t="s">
        <v>17</v>
      </c>
      <c r="F99" s="32" t="s">
        <v>18</v>
      </c>
      <c r="G99" s="32" t="s">
        <v>19</v>
      </c>
      <c r="H99" s="32">
        <v>2</v>
      </c>
      <c r="I99" s="34">
        <v>249.99</v>
      </c>
      <c r="J99" s="32" t="s">
        <v>20</v>
      </c>
      <c r="K99" s="32" t="s">
        <v>35</v>
      </c>
      <c r="L99" s="32" t="s">
        <v>36</v>
      </c>
      <c r="M99" s="33">
        <v>44572</v>
      </c>
      <c r="N99" s="34">
        <v>499.98</v>
      </c>
    </row>
    <row r="100" spans="1:14" x14ac:dyDescent="0.3">
      <c r="A100" s="32" t="s">
        <v>229</v>
      </c>
      <c r="B100" s="33">
        <v>45532</v>
      </c>
      <c r="C100" s="32" t="s">
        <v>196</v>
      </c>
      <c r="D100" s="32" t="s">
        <v>197</v>
      </c>
      <c r="E100" s="32" t="s">
        <v>80</v>
      </c>
      <c r="F100" s="32" t="s">
        <v>81</v>
      </c>
      <c r="G100" s="32" t="s">
        <v>19</v>
      </c>
      <c r="H100" s="32">
        <v>1</v>
      </c>
      <c r="I100" s="34">
        <v>699.99</v>
      </c>
      <c r="J100" s="32" t="s">
        <v>20</v>
      </c>
      <c r="K100" s="32" t="s">
        <v>21</v>
      </c>
      <c r="L100" s="32" t="s">
        <v>27</v>
      </c>
      <c r="M100" s="33">
        <v>44497</v>
      </c>
      <c r="N100" s="34">
        <v>699.99</v>
      </c>
    </row>
    <row r="101" spans="1:14" x14ac:dyDescent="0.3">
      <c r="A101" s="32" t="s">
        <v>230</v>
      </c>
      <c r="B101" s="33">
        <v>45532</v>
      </c>
      <c r="C101" s="32" t="s">
        <v>231</v>
      </c>
      <c r="D101" s="32" t="s">
        <v>232</v>
      </c>
      <c r="E101" s="32" t="s">
        <v>52</v>
      </c>
      <c r="F101" s="32" t="s">
        <v>53</v>
      </c>
      <c r="G101" s="32" t="s">
        <v>19</v>
      </c>
      <c r="H101" s="32">
        <v>3</v>
      </c>
      <c r="I101" s="34">
        <v>149.99</v>
      </c>
      <c r="J101" s="32" t="s">
        <v>20</v>
      </c>
      <c r="K101" s="32" t="s">
        <v>50</v>
      </c>
      <c r="L101" s="32" t="s">
        <v>27</v>
      </c>
      <c r="M101" s="33">
        <v>45212</v>
      </c>
      <c r="N101" s="34">
        <v>449.97</v>
      </c>
    </row>
    <row r="102" spans="1:14" x14ac:dyDescent="0.3">
      <c r="A102" s="32" t="s">
        <v>233</v>
      </c>
      <c r="B102" s="33">
        <v>45534</v>
      </c>
      <c r="C102" s="32" t="s">
        <v>234</v>
      </c>
      <c r="D102" s="32" t="s">
        <v>235</v>
      </c>
      <c r="E102" s="32" t="s">
        <v>80</v>
      </c>
      <c r="F102" s="32" t="s">
        <v>81</v>
      </c>
      <c r="G102" s="32" t="s">
        <v>19</v>
      </c>
      <c r="H102" s="32">
        <v>2</v>
      </c>
      <c r="I102" s="34">
        <v>699.99</v>
      </c>
      <c r="J102" s="32" t="s">
        <v>26</v>
      </c>
      <c r="K102" s="32" t="s">
        <v>40</v>
      </c>
      <c r="L102" s="32" t="s">
        <v>27</v>
      </c>
      <c r="M102" s="33">
        <v>44421</v>
      </c>
      <c r="N102" s="34">
        <v>1399.98</v>
      </c>
    </row>
    <row r="103" spans="1:14" x14ac:dyDescent="0.3">
      <c r="A103" s="32" t="s">
        <v>236</v>
      </c>
      <c r="B103" s="33">
        <v>45537</v>
      </c>
      <c r="C103" s="32" t="s">
        <v>231</v>
      </c>
      <c r="D103" s="32" t="s">
        <v>232</v>
      </c>
      <c r="E103" s="32" t="s">
        <v>17</v>
      </c>
      <c r="F103" s="32" t="s">
        <v>18</v>
      </c>
      <c r="G103" s="32" t="s">
        <v>19</v>
      </c>
      <c r="H103" s="32">
        <v>1</v>
      </c>
      <c r="I103" s="34">
        <v>249.99</v>
      </c>
      <c r="J103" s="32" t="s">
        <v>26</v>
      </c>
      <c r="K103" s="32" t="s">
        <v>50</v>
      </c>
      <c r="L103" s="32" t="s">
        <v>27</v>
      </c>
      <c r="M103" s="33">
        <v>44685</v>
      </c>
      <c r="N103" s="34">
        <v>249.99</v>
      </c>
    </row>
    <row r="104" spans="1:14" x14ac:dyDescent="0.3">
      <c r="A104" s="32" t="s">
        <v>237</v>
      </c>
      <c r="B104" s="33">
        <v>45537</v>
      </c>
      <c r="C104" s="32" t="s">
        <v>15</v>
      </c>
      <c r="D104" s="32" t="s">
        <v>16</v>
      </c>
      <c r="E104" s="32" t="s">
        <v>17</v>
      </c>
      <c r="F104" s="32" t="s">
        <v>18</v>
      </c>
      <c r="G104" s="32" t="s">
        <v>19</v>
      </c>
      <c r="H104" s="32">
        <v>1</v>
      </c>
      <c r="I104" s="34">
        <v>249.99</v>
      </c>
      <c r="J104" s="32" t="s">
        <v>57</v>
      </c>
      <c r="K104" s="32" t="s">
        <v>40</v>
      </c>
      <c r="L104" s="32" t="s">
        <v>27</v>
      </c>
      <c r="M104" s="33">
        <v>45332</v>
      </c>
      <c r="N104" s="34">
        <v>249.99</v>
      </c>
    </row>
    <row r="105" spans="1:14" x14ac:dyDescent="0.3">
      <c r="A105" s="32" t="s">
        <v>238</v>
      </c>
      <c r="B105" s="33">
        <v>45538</v>
      </c>
      <c r="C105" s="32" t="s">
        <v>226</v>
      </c>
      <c r="D105" s="32" t="s">
        <v>227</v>
      </c>
      <c r="E105" s="32" t="s">
        <v>80</v>
      </c>
      <c r="F105" s="32" t="s">
        <v>81</v>
      </c>
      <c r="G105" s="32" t="s">
        <v>19</v>
      </c>
      <c r="H105" s="32">
        <v>2</v>
      </c>
      <c r="I105" s="34">
        <v>699.99</v>
      </c>
      <c r="J105" s="32" t="s">
        <v>57</v>
      </c>
      <c r="K105" s="32" t="s">
        <v>21</v>
      </c>
      <c r="L105" s="32" t="s">
        <v>27</v>
      </c>
      <c r="M105" s="33">
        <v>44870</v>
      </c>
      <c r="N105" s="34">
        <v>1399.98</v>
      </c>
    </row>
    <row r="106" spans="1:14" x14ac:dyDescent="0.3">
      <c r="A106" s="32" t="s">
        <v>239</v>
      </c>
      <c r="B106" s="33">
        <v>45541</v>
      </c>
      <c r="C106" s="32" t="s">
        <v>138</v>
      </c>
      <c r="D106" s="32" t="s">
        <v>139</v>
      </c>
      <c r="E106" s="32" t="s">
        <v>31</v>
      </c>
      <c r="F106" s="32" t="s">
        <v>32</v>
      </c>
      <c r="G106" s="32" t="s">
        <v>33</v>
      </c>
      <c r="H106" s="32">
        <v>3</v>
      </c>
      <c r="I106" s="34">
        <v>59.99</v>
      </c>
      <c r="J106" s="32" t="s">
        <v>26</v>
      </c>
      <c r="K106" s="32" t="s">
        <v>21</v>
      </c>
      <c r="L106" s="32" t="s">
        <v>27</v>
      </c>
      <c r="M106" s="33">
        <v>44717</v>
      </c>
      <c r="N106" s="34">
        <v>179.97</v>
      </c>
    </row>
    <row r="107" spans="1:14" x14ac:dyDescent="0.3">
      <c r="A107" s="32" t="s">
        <v>240</v>
      </c>
      <c r="B107" s="33">
        <v>45544</v>
      </c>
      <c r="C107" s="32" t="s">
        <v>132</v>
      </c>
      <c r="D107" s="32" t="s">
        <v>133</v>
      </c>
      <c r="E107" s="32" t="s">
        <v>31</v>
      </c>
      <c r="F107" s="32" t="s">
        <v>32</v>
      </c>
      <c r="G107" s="32" t="s">
        <v>33</v>
      </c>
      <c r="H107" s="32">
        <v>3</v>
      </c>
      <c r="I107" s="34">
        <v>59.99</v>
      </c>
      <c r="J107" s="32" t="s">
        <v>34</v>
      </c>
      <c r="K107" s="32" t="s">
        <v>63</v>
      </c>
      <c r="L107" s="32" t="s">
        <v>36</v>
      </c>
      <c r="M107" s="33">
        <v>44748</v>
      </c>
      <c r="N107" s="34">
        <v>179.97</v>
      </c>
    </row>
    <row r="108" spans="1:14" x14ac:dyDescent="0.3">
      <c r="A108" s="32" t="s">
        <v>241</v>
      </c>
      <c r="B108" s="33">
        <v>45544</v>
      </c>
      <c r="C108" s="32" t="s">
        <v>141</v>
      </c>
      <c r="D108" s="32" t="s">
        <v>142</v>
      </c>
      <c r="E108" s="32" t="s">
        <v>114</v>
      </c>
      <c r="F108" s="32" t="s">
        <v>115</v>
      </c>
      <c r="G108" s="32" t="s">
        <v>33</v>
      </c>
      <c r="H108" s="32">
        <v>4</v>
      </c>
      <c r="I108" s="34">
        <v>79.989999999999995</v>
      </c>
      <c r="J108" s="32" t="s">
        <v>20</v>
      </c>
      <c r="K108" s="32" t="s">
        <v>40</v>
      </c>
      <c r="L108" s="32" t="s">
        <v>22</v>
      </c>
      <c r="M108" s="33">
        <v>44530</v>
      </c>
      <c r="N108" s="34">
        <v>319.95999999999998</v>
      </c>
    </row>
    <row r="109" spans="1:14" x14ac:dyDescent="0.3">
      <c r="A109" s="32" t="s">
        <v>242</v>
      </c>
      <c r="B109" s="33">
        <v>45545</v>
      </c>
      <c r="C109" s="32" t="s">
        <v>55</v>
      </c>
      <c r="D109" s="32" t="s">
        <v>56</v>
      </c>
      <c r="E109" s="32" t="s">
        <v>114</v>
      </c>
      <c r="F109" s="32" t="s">
        <v>115</v>
      </c>
      <c r="G109" s="32" t="s">
        <v>33</v>
      </c>
      <c r="H109" s="32">
        <v>1</v>
      </c>
      <c r="I109" s="34">
        <v>79.989999999999995</v>
      </c>
      <c r="J109" s="32" t="s">
        <v>20</v>
      </c>
      <c r="K109" s="32" t="s">
        <v>50</v>
      </c>
      <c r="L109" s="32" t="s">
        <v>22</v>
      </c>
      <c r="M109" s="33">
        <v>44693</v>
      </c>
      <c r="N109" s="34">
        <v>79.989999999999995</v>
      </c>
    </row>
    <row r="110" spans="1:14" x14ac:dyDescent="0.3">
      <c r="A110" s="32" t="s">
        <v>243</v>
      </c>
      <c r="B110" s="33">
        <v>45547</v>
      </c>
      <c r="C110" s="32" t="s">
        <v>48</v>
      </c>
      <c r="D110" s="32" t="s">
        <v>49</v>
      </c>
      <c r="E110" s="32" t="s">
        <v>105</v>
      </c>
      <c r="F110" s="32" t="s">
        <v>106</v>
      </c>
      <c r="G110" s="32" t="s">
        <v>46</v>
      </c>
      <c r="H110" s="32">
        <v>3</v>
      </c>
      <c r="I110" s="34">
        <v>299.99</v>
      </c>
      <c r="J110" s="32" t="s">
        <v>26</v>
      </c>
      <c r="K110" s="32" t="s">
        <v>21</v>
      </c>
      <c r="L110" s="32" t="s">
        <v>27</v>
      </c>
      <c r="M110" s="33">
        <v>44494</v>
      </c>
      <c r="N110" s="34">
        <v>899.97</v>
      </c>
    </row>
    <row r="111" spans="1:14" x14ac:dyDescent="0.3">
      <c r="A111" s="32" t="s">
        <v>244</v>
      </c>
      <c r="B111" s="33">
        <v>45548</v>
      </c>
      <c r="C111" s="32" t="s">
        <v>38</v>
      </c>
      <c r="D111" s="32" t="s">
        <v>39</v>
      </c>
      <c r="E111" s="32" t="s">
        <v>117</v>
      </c>
      <c r="F111" s="32" t="s">
        <v>118</v>
      </c>
      <c r="G111" s="32" t="s">
        <v>19</v>
      </c>
      <c r="H111" s="32">
        <v>2</v>
      </c>
      <c r="I111" s="34">
        <v>89.99</v>
      </c>
      <c r="J111" s="32" t="s">
        <v>26</v>
      </c>
      <c r="K111" s="32" t="s">
        <v>35</v>
      </c>
      <c r="L111" s="32" t="s">
        <v>27</v>
      </c>
      <c r="M111" s="33">
        <v>44641</v>
      </c>
      <c r="N111" s="34">
        <v>179.98</v>
      </c>
    </row>
    <row r="112" spans="1:14" x14ac:dyDescent="0.3">
      <c r="A112" s="32" t="s">
        <v>245</v>
      </c>
      <c r="B112" s="33">
        <v>45550</v>
      </c>
      <c r="C112" s="32" t="s">
        <v>246</v>
      </c>
      <c r="D112" s="32" t="s">
        <v>247</v>
      </c>
      <c r="E112" s="32" t="s">
        <v>52</v>
      </c>
      <c r="F112" s="32" t="s">
        <v>53</v>
      </c>
      <c r="G112" s="32" t="s">
        <v>19</v>
      </c>
      <c r="H112" s="32">
        <v>4</v>
      </c>
      <c r="I112" s="34">
        <v>149.99</v>
      </c>
      <c r="J112" s="32" t="s">
        <v>20</v>
      </c>
      <c r="K112" s="32" t="s">
        <v>40</v>
      </c>
      <c r="L112" s="32" t="s">
        <v>22</v>
      </c>
      <c r="M112" s="33">
        <v>44909</v>
      </c>
      <c r="N112" s="34">
        <v>599.96</v>
      </c>
    </row>
    <row r="113" spans="1:14" x14ac:dyDescent="0.3">
      <c r="A113" s="32" t="s">
        <v>248</v>
      </c>
      <c r="B113" s="33">
        <v>45551</v>
      </c>
      <c r="C113" s="32" t="s">
        <v>65</v>
      </c>
      <c r="D113" s="32" t="s">
        <v>66</v>
      </c>
      <c r="E113" s="32" t="s">
        <v>17</v>
      </c>
      <c r="F113" s="32" t="s">
        <v>18</v>
      </c>
      <c r="G113" s="32" t="s">
        <v>19</v>
      </c>
      <c r="H113" s="32">
        <v>2</v>
      </c>
      <c r="I113" s="34">
        <v>249.99</v>
      </c>
      <c r="J113" s="32" t="s">
        <v>34</v>
      </c>
      <c r="K113" s="32" t="s">
        <v>35</v>
      </c>
      <c r="L113" s="32" t="s">
        <v>22</v>
      </c>
      <c r="M113" s="33">
        <v>44993</v>
      </c>
      <c r="N113" s="34">
        <v>499.98</v>
      </c>
    </row>
    <row r="114" spans="1:14" x14ac:dyDescent="0.3">
      <c r="A114" s="32" t="s">
        <v>249</v>
      </c>
      <c r="B114" s="33">
        <v>45551</v>
      </c>
      <c r="C114" s="32" t="s">
        <v>154</v>
      </c>
      <c r="D114" s="32" t="s">
        <v>155</v>
      </c>
      <c r="E114" s="32" t="s">
        <v>126</v>
      </c>
      <c r="F114" s="32" t="s">
        <v>127</v>
      </c>
      <c r="G114" s="32" t="s">
        <v>46</v>
      </c>
      <c r="H114" s="32">
        <v>4</v>
      </c>
      <c r="I114" s="34">
        <v>199.99</v>
      </c>
      <c r="J114" s="32" t="s">
        <v>57</v>
      </c>
      <c r="K114" s="32" t="s">
        <v>63</v>
      </c>
      <c r="L114" s="32" t="s">
        <v>22</v>
      </c>
      <c r="M114" s="33">
        <v>44458</v>
      </c>
      <c r="N114" s="34">
        <v>799.96</v>
      </c>
    </row>
    <row r="115" spans="1:14" x14ac:dyDescent="0.3">
      <c r="A115" s="32" t="s">
        <v>250</v>
      </c>
      <c r="B115" s="33">
        <v>45554</v>
      </c>
      <c r="C115" s="32" t="s">
        <v>147</v>
      </c>
      <c r="D115" s="32" t="s">
        <v>148</v>
      </c>
      <c r="E115" s="32" t="s">
        <v>117</v>
      </c>
      <c r="F115" s="32" t="s">
        <v>118</v>
      </c>
      <c r="G115" s="32" t="s">
        <v>19</v>
      </c>
      <c r="H115" s="32">
        <v>5</v>
      </c>
      <c r="I115" s="34">
        <v>89.99</v>
      </c>
      <c r="J115" s="32" t="s">
        <v>26</v>
      </c>
      <c r="K115" s="32" t="s">
        <v>63</v>
      </c>
      <c r="L115" s="32" t="s">
        <v>27</v>
      </c>
      <c r="M115" s="33">
        <v>44446</v>
      </c>
      <c r="N115" s="34">
        <v>449.95</v>
      </c>
    </row>
    <row r="116" spans="1:14" x14ac:dyDescent="0.3">
      <c r="A116" s="32" t="s">
        <v>251</v>
      </c>
      <c r="B116" s="33">
        <v>45554</v>
      </c>
      <c r="C116" s="32" t="s">
        <v>252</v>
      </c>
      <c r="D116" s="32" t="s">
        <v>253</v>
      </c>
      <c r="E116" s="32" t="s">
        <v>52</v>
      </c>
      <c r="F116" s="32" t="s">
        <v>53</v>
      </c>
      <c r="G116" s="32" t="s">
        <v>19</v>
      </c>
      <c r="H116" s="32">
        <v>1</v>
      </c>
      <c r="I116" s="34">
        <v>149.99</v>
      </c>
      <c r="J116" s="32" t="s">
        <v>34</v>
      </c>
      <c r="K116" s="32" t="s">
        <v>63</v>
      </c>
      <c r="L116" s="32" t="s">
        <v>36</v>
      </c>
      <c r="M116" s="33">
        <v>44482</v>
      </c>
      <c r="N116" s="34">
        <v>149.99</v>
      </c>
    </row>
    <row r="117" spans="1:14" x14ac:dyDescent="0.3">
      <c r="A117" s="32" t="s">
        <v>254</v>
      </c>
      <c r="B117" s="33">
        <v>45554</v>
      </c>
      <c r="C117" s="32" t="s">
        <v>72</v>
      </c>
      <c r="D117" s="32" t="s">
        <v>73</v>
      </c>
      <c r="E117" s="32" t="s">
        <v>80</v>
      </c>
      <c r="F117" s="32" t="s">
        <v>81</v>
      </c>
      <c r="G117" s="32" t="s">
        <v>19</v>
      </c>
      <c r="H117" s="32">
        <v>4</v>
      </c>
      <c r="I117" s="34">
        <v>699.99</v>
      </c>
      <c r="J117" s="32" t="s">
        <v>34</v>
      </c>
      <c r="K117" s="32" t="s">
        <v>35</v>
      </c>
      <c r="L117" s="32" t="s">
        <v>22</v>
      </c>
      <c r="M117" s="33">
        <v>44618</v>
      </c>
      <c r="N117" s="34">
        <v>2799.96</v>
      </c>
    </row>
    <row r="118" spans="1:14" x14ac:dyDescent="0.3">
      <c r="A118" s="32" t="s">
        <v>255</v>
      </c>
      <c r="B118" s="33">
        <v>45559</v>
      </c>
      <c r="C118" s="32" t="s">
        <v>234</v>
      </c>
      <c r="D118" s="32" t="s">
        <v>235</v>
      </c>
      <c r="E118" s="32" t="s">
        <v>61</v>
      </c>
      <c r="F118" s="32" t="s">
        <v>62</v>
      </c>
      <c r="G118" s="32" t="s">
        <v>19</v>
      </c>
      <c r="H118" s="32">
        <v>3</v>
      </c>
      <c r="I118" s="34">
        <v>899.99</v>
      </c>
      <c r="J118" s="32" t="s">
        <v>26</v>
      </c>
      <c r="K118" s="32" t="s">
        <v>40</v>
      </c>
      <c r="L118" s="32" t="s">
        <v>36</v>
      </c>
      <c r="M118" s="33">
        <v>45157</v>
      </c>
      <c r="N118" s="34">
        <v>2699.97</v>
      </c>
    </row>
    <row r="119" spans="1:14" x14ac:dyDescent="0.3">
      <c r="A119" s="32" t="s">
        <v>256</v>
      </c>
      <c r="B119" s="33">
        <v>45560</v>
      </c>
      <c r="C119" s="32" t="s">
        <v>112</v>
      </c>
      <c r="D119" s="32" t="s">
        <v>113</v>
      </c>
      <c r="E119" s="32" t="s">
        <v>44</v>
      </c>
      <c r="F119" s="32" t="s">
        <v>45</v>
      </c>
      <c r="G119" s="32" t="s">
        <v>46</v>
      </c>
      <c r="H119" s="32">
        <v>3</v>
      </c>
      <c r="I119" s="34">
        <v>149.99</v>
      </c>
      <c r="J119" s="32" t="s">
        <v>34</v>
      </c>
      <c r="K119" s="32" t="s">
        <v>63</v>
      </c>
      <c r="L119" s="32" t="s">
        <v>22</v>
      </c>
      <c r="M119" s="33">
        <v>44886</v>
      </c>
      <c r="N119" s="34">
        <v>449.97</v>
      </c>
    </row>
    <row r="120" spans="1:14" x14ac:dyDescent="0.3">
      <c r="A120" s="32" t="s">
        <v>257</v>
      </c>
      <c r="B120" s="33">
        <v>45563</v>
      </c>
      <c r="C120" s="32" t="s">
        <v>99</v>
      </c>
      <c r="D120" s="32" t="s">
        <v>100</v>
      </c>
      <c r="E120" s="32" t="s">
        <v>105</v>
      </c>
      <c r="F120" s="32" t="s">
        <v>106</v>
      </c>
      <c r="G120" s="32" t="s">
        <v>46</v>
      </c>
      <c r="H120" s="32">
        <v>2</v>
      </c>
      <c r="I120" s="34">
        <v>299.99</v>
      </c>
      <c r="J120" s="32" t="s">
        <v>57</v>
      </c>
      <c r="K120" s="32" t="s">
        <v>21</v>
      </c>
      <c r="L120" s="32" t="s">
        <v>22</v>
      </c>
      <c r="M120" s="33">
        <v>44569</v>
      </c>
      <c r="N120" s="34">
        <v>599.98</v>
      </c>
    </row>
    <row r="121" spans="1:14" x14ac:dyDescent="0.3">
      <c r="A121" s="32" t="s">
        <v>258</v>
      </c>
      <c r="B121" s="33">
        <v>45564</v>
      </c>
      <c r="C121" s="32" t="s">
        <v>259</v>
      </c>
      <c r="D121" s="32" t="s">
        <v>260</v>
      </c>
      <c r="E121" s="32" t="s">
        <v>126</v>
      </c>
      <c r="F121" s="32" t="s">
        <v>127</v>
      </c>
      <c r="G121" s="32" t="s">
        <v>46</v>
      </c>
      <c r="H121" s="32">
        <v>1</v>
      </c>
      <c r="I121" s="34">
        <v>199.99</v>
      </c>
      <c r="J121" s="32" t="s">
        <v>57</v>
      </c>
      <c r="K121" s="32" t="s">
        <v>63</v>
      </c>
      <c r="L121" s="32" t="s">
        <v>36</v>
      </c>
      <c r="M121" s="33">
        <v>44953</v>
      </c>
      <c r="N121" s="34">
        <v>199.99</v>
      </c>
    </row>
    <row r="122" spans="1:14" x14ac:dyDescent="0.3">
      <c r="A122" s="32" t="s">
        <v>261</v>
      </c>
      <c r="B122" s="33">
        <v>45566</v>
      </c>
      <c r="C122" s="32" t="s">
        <v>42</v>
      </c>
      <c r="D122" s="32" t="s">
        <v>43</v>
      </c>
      <c r="E122" s="32" t="s">
        <v>105</v>
      </c>
      <c r="F122" s="32" t="s">
        <v>106</v>
      </c>
      <c r="G122" s="32" t="s">
        <v>46</v>
      </c>
      <c r="H122" s="32">
        <v>4</v>
      </c>
      <c r="I122" s="34">
        <v>299.99</v>
      </c>
      <c r="J122" s="32" t="s">
        <v>20</v>
      </c>
      <c r="K122" s="32" t="s">
        <v>21</v>
      </c>
      <c r="L122" s="32" t="s">
        <v>27</v>
      </c>
      <c r="M122" s="33">
        <v>44460</v>
      </c>
      <c r="N122" s="34">
        <v>1199.96</v>
      </c>
    </row>
    <row r="123" spans="1:14" x14ac:dyDescent="0.3">
      <c r="A123" s="32" t="s">
        <v>262</v>
      </c>
      <c r="B123" s="33">
        <v>45572</v>
      </c>
      <c r="C123" s="32" t="s">
        <v>89</v>
      </c>
      <c r="D123" s="32" t="s">
        <v>90</v>
      </c>
      <c r="E123" s="32" t="s">
        <v>31</v>
      </c>
      <c r="F123" s="32" t="s">
        <v>32</v>
      </c>
      <c r="G123" s="32" t="s">
        <v>33</v>
      </c>
      <c r="H123" s="32">
        <v>2</v>
      </c>
      <c r="I123" s="34">
        <v>59.99</v>
      </c>
      <c r="J123" s="32" t="s">
        <v>26</v>
      </c>
      <c r="K123" s="32" t="s">
        <v>21</v>
      </c>
      <c r="L123" s="32" t="s">
        <v>22</v>
      </c>
      <c r="M123" s="33">
        <v>44579</v>
      </c>
      <c r="N123" s="34">
        <v>119.98</v>
      </c>
    </row>
    <row r="124" spans="1:14" x14ac:dyDescent="0.3">
      <c r="A124" s="32" t="s">
        <v>263</v>
      </c>
      <c r="B124" s="33">
        <v>45572</v>
      </c>
      <c r="C124" s="32" t="s">
        <v>234</v>
      </c>
      <c r="D124" s="32" t="s">
        <v>235</v>
      </c>
      <c r="E124" s="32" t="s">
        <v>52</v>
      </c>
      <c r="F124" s="32" t="s">
        <v>53</v>
      </c>
      <c r="G124" s="32" t="s">
        <v>19</v>
      </c>
      <c r="H124" s="32">
        <v>4</v>
      </c>
      <c r="I124" s="34">
        <v>149.99</v>
      </c>
      <c r="J124" s="32" t="s">
        <v>26</v>
      </c>
      <c r="K124" s="32" t="s">
        <v>40</v>
      </c>
      <c r="L124" s="32" t="s">
        <v>27</v>
      </c>
      <c r="M124" s="33">
        <v>45076</v>
      </c>
      <c r="N124" s="34">
        <v>599.96</v>
      </c>
    </row>
    <row r="125" spans="1:14" x14ac:dyDescent="0.3">
      <c r="A125" s="32" t="s">
        <v>264</v>
      </c>
      <c r="B125" s="33">
        <v>45573</v>
      </c>
      <c r="C125" s="32" t="s">
        <v>211</v>
      </c>
      <c r="D125" s="32" t="s">
        <v>212</v>
      </c>
      <c r="E125" s="32" t="s">
        <v>80</v>
      </c>
      <c r="F125" s="32" t="s">
        <v>81</v>
      </c>
      <c r="G125" s="32" t="s">
        <v>19</v>
      </c>
      <c r="H125" s="32">
        <v>2</v>
      </c>
      <c r="I125" s="34">
        <v>699.99</v>
      </c>
      <c r="J125" s="32" t="s">
        <v>57</v>
      </c>
      <c r="K125" s="32" t="s">
        <v>63</v>
      </c>
      <c r="L125" s="32" t="s">
        <v>27</v>
      </c>
      <c r="M125" s="33">
        <v>45274</v>
      </c>
      <c r="N125" s="34">
        <v>1399.98</v>
      </c>
    </row>
    <row r="126" spans="1:14" x14ac:dyDescent="0.3">
      <c r="A126" s="32" t="s">
        <v>265</v>
      </c>
      <c r="B126" s="33">
        <v>45573</v>
      </c>
      <c r="C126" s="32" t="s">
        <v>231</v>
      </c>
      <c r="D126" s="32" t="s">
        <v>232</v>
      </c>
      <c r="E126" s="32" t="s">
        <v>44</v>
      </c>
      <c r="F126" s="32" t="s">
        <v>45</v>
      </c>
      <c r="G126" s="32" t="s">
        <v>46</v>
      </c>
      <c r="H126" s="32">
        <v>3</v>
      </c>
      <c r="I126" s="34">
        <v>149.99</v>
      </c>
      <c r="J126" s="32" t="s">
        <v>26</v>
      </c>
      <c r="K126" s="32" t="s">
        <v>35</v>
      </c>
      <c r="L126" s="32" t="s">
        <v>36</v>
      </c>
      <c r="M126" s="33">
        <v>44940</v>
      </c>
      <c r="N126" s="34">
        <v>449.97</v>
      </c>
    </row>
    <row r="127" spans="1:14" x14ac:dyDescent="0.3">
      <c r="A127" s="32" t="s">
        <v>266</v>
      </c>
      <c r="B127" s="33">
        <v>45576</v>
      </c>
      <c r="C127" s="32" t="s">
        <v>147</v>
      </c>
      <c r="D127" s="32" t="s">
        <v>148</v>
      </c>
      <c r="E127" s="32" t="s">
        <v>105</v>
      </c>
      <c r="F127" s="32" t="s">
        <v>106</v>
      </c>
      <c r="G127" s="32" t="s">
        <v>46</v>
      </c>
      <c r="H127" s="32">
        <v>3</v>
      </c>
      <c r="I127" s="34">
        <v>299.99</v>
      </c>
      <c r="J127" s="32" t="s">
        <v>26</v>
      </c>
      <c r="K127" s="32" t="s">
        <v>21</v>
      </c>
      <c r="L127" s="32" t="s">
        <v>36</v>
      </c>
      <c r="M127" s="33">
        <v>45174</v>
      </c>
      <c r="N127" s="34">
        <v>899.97</v>
      </c>
    </row>
    <row r="128" spans="1:14" x14ac:dyDescent="0.3">
      <c r="A128" s="32" t="s">
        <v>267</v>
      </c>
      <c r="B128" s="33">
        <v>45579</v>
      </c>
      <c r="C128" s="32" t="s">
        <v>83</v>
      </c>
      <c r="D128" s="32" t="s">
        <v>84</v>
      </c>
      <c r="E128" s="32" t="s">
        <v>61</v>
      </c>
      <c r="F128" s="32" t="s">
        <v>62</v>
      </c>
      <c r="G128" s="32" t="s">
        <v>19</v>
      </c>
      <c r="H128" s="32">
        <v>3</v>
      </c>
      <c r="I128" s="34">
        <v>899.99</v>
      </c>
      <c r="J128" s="32" t="s">
        <v>34</v>
      </c>
      <c r="K128" s="32" t="s">
        <v>50</v>
      </c>
      <c r="L128" s="32" t="s">
        <v>22</v>
      </c>
      <c r="M128" s="33">
        <v>45215</v>
      </c>
      <c r="N128" s="34">
        <v>2699.97</v>
      </c>
    </row>
    <row r="129" spans="1:14" x14ac:dyDescent="0.3">
      <c r="A129" s="32" t="s">
        <v>268</v>
      </c>
      <c r="B129" s="33">
        <v>45581</v>
      </c>
      <c r="C129" s="32" t="s">
        <v>96</v>
      </c>
      <c r="D129" s="32" t="s">
        <v>97</v>
      </c>
      <c r="E129" s="32" t="s">
        <v>80</v>
      </c>
      <c r="F129" s="32" t="s">
        <v>81</v>
      </c>
      <c r="G129" s="32" t="s">
        <v>19</v>
      </c>
      <c r="H129" s="32">
        <v>5</v>
      </c>
      <c r="I129" s="34">
        <v>699.99</v>
      </c>
      <c r="J129" s="32" t="s">
        <v>20</v>
      </c>
      <c r="K129" s="32" t="s">
        <v>63</v>
      </c>
      <c r="L129" s="32" t="s">
        <v>36</v>
      </c>
      <c r="M129" s="33">
        <v>45008</v>
      </c>
      <c r="N129" s="34">
        <v>3499.95</v>
      </c>
    </row>
    <row r="130" spans="1:14" x14ac:dyDescent="0.3">
      <c r="A130" s="32" t="s">
        <v>269</v>
      </c>
      <c r="B130" s="33">
        <v>45581</v>
      </c>
      <c r="C130" s="32" t="s">
        <v>171</v>
      </c>
      <c r="D130" s="32" t="s">
        <v>172</v>
      </c>
      <c r="E130" s="32" t="s">
        <v>80</v>
      </c>
      <c r="F130" s="32" t="s">
        <v>81</v>
      </c>
      <c r="G130" s="32" t="s">
        <v>19</v>
      </c>
      <c r="H130" s="32">
        <v>4</v>
      </c>
      <c r="I130" s="34">
        <v>699.99</v>
      </c>
      <c r="J130" s="32" t="s">
        <v>26</v>
      </c>
      <c r="K130" s="32" t="s">
        <v>21</v>
      </c>
      <c r="L130" s="32" t="s">
        <v>22</v>
      </c>
      <c r="M130" s="33">
        <v>45385</v>
      </c>
      <c r="N130" s="34">
        <v>2799.96</v>
      </c>
    </row>
    <row r="131" spans="1:14" x14ac:dyDescent="0.3">
      <c r="A131" s="32" t="s">
        <v>270</v>
      </c>
      <c r="B131" s="33">
        <v>45581</v>
      </c>
      <c r="C131" s="32" t="s">
        <v>150</v>
      </c>
      <c r="D131" s="32" t="s">
        <v>151</v>
      </c>
      <c r="E131" s="32" t="s">
        <v>61</v>
      </c>
      <c r="F131" s="32" t="s">
        <v>62</v>
      </c>
      <c r="G131" s="32" t="s">
        <v>19</v>
      </c>
      <c r="H131" s="32">
        <v>1</v>
      </c>
      <c r="I131" s="34">
        <v>899.99</v>
      </c>
      <c r="J131" s="32" t="s">
        <v>26</v>
      </c>
      <c r="K131" s="32" t="s">
        <v>63</v>
      </c>
      <c r="L131" s="32" t="s">
        <v>36</v>
      </c>
      <c r="M131" s="33">
        <v>45369</v>
      </c>
      <c r="N131" s="34">
        <v>899.99</v>
      </c>
    </row>
    <row r="132" spans="1:14" x14ac:dyDescent="0.3">
      <c r="A132" s="32" t="s">
        <v>271</v>
      </c>
      <c r="B132" s="33">
        <v>45583</v>
      </c>
      <c r="C132" s="32" t="s">
        <v>226</v>
      </c>
      <c r="D132" s="32" t="s">
        <v>227</v>
      </c>
      <c r="E132" s="32" t="s">
        <v>52</v>
      </c>
      <c r="F132" s="32" t="s">
        <v>53</v>
      </c>
      <c r="G132" s="32" t="s">
        <v>19</v>
      </c>
      <c r="H132" s="32">
        <v>2</v>
      </c>
      <c r="I132" s="34">
        <v>149.99</v>
      </c>
      <c r="J132" s="32" t="s">
        <v>26</v>
      </c>
      <c r="K132" s="32" t="s">
        <v>50</v>
      </c>
      <c r="L132" s="32" t="s">
        <v>22</v>
      </c>
      <c r="M132" s="33">
        <v>44916</v>
      </c>
      <c r="N132" s="34">
        <v>299.98</v>
      </c>
    </row>
    <row r="133" spans="1:14" x14ac:dyDescent="0.3">
      <c r="A133" s="32" t="s">
        <v>272</v>
      </c>
      <c r="B133" s="33">
        <v>45586</v>
      </c>
      <c r="C133" s="32" t="s">
        <v>226</v>
      </c>
      <c r="D133" s="32" t="s">
        <v>227</v>
      </c>
      <c r="E133" s="32" t="s">
        <v>117</v>
      </c>
      <c r="F133" s="32" t="s">
        <v>118</v>
      </c>
      <c r="G133" s="32" t="s">
        <v>19</v>
      </c>
      <c r="H133" s="32">
        <v>3</v>
      </c>
      <c r="I133" s="34">
        <v>89.99</v>
      </c>
      <c r="J133" s="32" t="s">
        <v>34</v>
      </c>
      <c r="K133" s="32" t="s">
        <v>21</v>
      </c>
      <c r="L133" s="32" t="s">
        <v>22</v>
      </c>
      <c r="M133" s="33">
        <v>44551</v>
      </c>
      <c r="N133" s="34">
        <v>269.97000000000003</v>
      </c>
    </row>
    <row r="134" spans="1:14" x14ac:dyDescent="0.3">
      <c r="A134" s="32" t="s">
        <v>273</v>
      </c>
      <c r="B134" s="33">
        <v>45588</v>
      </c>
      <c r="C134" s="32" t="s">
        <v>38</v>
      </c>
      <c r="D134" s="32" t="s">
        <v>39</v>
      </c>
      <c r="E134" s="32" t="s">
        <v>52</v>
      </c>
      <c r="F134" s="32" t="s">
        <v>53</v>
      </c>
      <c r="G134" s="32" t="s">
        <v>19</v>
      </c>
      <c r="H134" s="32">
        <v>2</v>
      </c>
      <c r="I134" s="34">
        <v>149.99</v>
      </c>
      <c r="J134" s="32" t="s">
        <v>34</v>
      </c>
      <c r="K134" s="32" t="s">
        <v>21</v>
      </c>
      <c r="L134" s="32" t="s">
        <v>22</v>
      </c>
      <c r="M134" s="33">
        <v>44473</v>
      </c>
      <c r="N134" s="34">
        <v>299.98</v>
      </c>
    </row>
    <row r="135" spans="1:14" x14ac:dyDescent="0.3">
      <c r="A135" s="32" t="s">
        <v>274</v>
      </c>
      <c r="B135" s="33">
        <v>45588</v>
      </c>
      <c r="C135" s="32" t="s">
        <v>154</v>
      </c>
      <c r="D135" s="32" t="s">
        <v>155</v>
      </c>
      <c r="E135" s="32" t="s">
        <v>80</v>
      </c>
      <c r="F135" s="32" t="s">
        <v>81</v>
      </c>
      <c r="G135" s="32" t="s">
        <v>19</v>
      </c>
      <c r="H135" s="32">
        <v>2</v>
      </c>
      <c r="I135" s="34">
        <v>699.99</v>
      </c>
      <c r="J135" s="32" t="s">
        <v>20</v>
      </c>
      <c r="K135" s="32" t="s">
        <v>21</v>
      </c>
      <c r="L135" s="32" t="s">
        <v>22</v>
      </c>
      <c r="M135" s="33">
        <v>44992</v>
      </c>
      <c r="N135" s="34">
        <v>1399.98</v>
      </c>
    </row>
    <row r="136" spans="1:14" x14ac:dyDescent="0.3">
      <c r="A136" s="32" t="s">
        <v>275</v>
      </c>
      <c r="B136" s="33">
        <v>45589</v>
      </c>
      <c r="C136" s="32" t="s">
        <v>158</v>
      </c>
      <c r="D136" s="32" t="s">
        <v>159</v>
      </c>
      <c r="E136" s="32" t="s">
        <v>80</v>
      </c>
      <c r="F136" s="32" t="s">
        <v>81</v>
      </c>
      <c r="G136" s="32" t="s">
        <v>19</v>
      </c>
      <c r="H136" s="32">
        <v>5</v>
      </c>
      <c r="I136" s="34">
        <v>699.99</v>
      </c>
      <c r="J136" s="32" t="s">
        <v>20</v>
      </c>
      <c r="K136" s="32" t="s">
        <v>40</v>
      </c>
      <c r="L136" s="32" t="s">
        <v>27</v>
      </c>
      <c r="M136" s="33">
        <v>44635</v>
      </c>
      <c r="N136" s="34">
        <v>3499.95</v>
      </c>
    </row>
    <row r="137" spans="1:14" x14ac:dyDescent="0.3">
      <c r="A137" s="32" t="s">
        <v>276</v>
      </c>
      <c r="B137" s="33">
        <v>45592</v>
      </c>
      <c r="C137" s="32" t="s">
        <v>171</v>
      </c>
      <c r="D137" s="32" t="s">
        <v>172</v>
      </c>
      <c r="E137" s="32" t="s">
        <v>117</v>
      </c>
      <c r="F137" s="32" t="s">
        <v>118</v>
      </c>
      <c r="G137" s="32" t="s">
        <v>19</v>
      </c>
      <c r="H137" s="32">
        <v>3</v>
      </c>
      <c r="I137" s="34">
        <v>89.99</v>
      </c>
      <c r="J137" s="32" t="s">
        <v>26</v>
      </c>
      <c r="K137" s="32" t="s">
        <v>40</v>
      </c>
      <c r="L137" s="32" t="s">
        <v>36</v>
      </c>
      <c r="M137" s="33">
        <v>44615</v>
      </c>
      <c r="N137" s="34">
        <v>269.97000000000003</v>
      </c>
    </row>
    <row r="138" spans="1:14" x14ac:dyDescent="0.3">
      <c r="A138" s="32" t="s">
        <v>277</v>
      </c>
      <c r="B138" s="33">
        <v>45597</v>
      </c>
      <c r="C138" s="32" t="s">
        <v>15</v>
      </c>
      <c r="D138" s="32" t="s">
        <v>16</v>
      </c>
      <c r="E138" s="32" t="s">
        <v>17</v>
      </c>
      <c r="F138" s="32" t="s">
        <v>18</v>
      </c>
      <c r="G138" s="32" t="s">
        <v>19</v>
      </c>
      <c r="H138" s="32">
        <v>5</v>
      </c>
      <c r="I138" s="34">
        <v>249.99</v>
      </c>
      <c r="J138" s="32" t="s">
        <v>26</v>
      </c>
      <c r="K138" s="32" t="s">
        <v>35</v>
      </c>
      <c r="L138" s="32" t="s">
        <v>36</v>
      </c>
      <c r="M138" s="33">
        <v>44881</v>
      </c>
      <c r="N138" s="34">
        <v>1249.95</v>
      </c>
    </row>
    <row r="139" spans="1:14" x14ac:dyDescent="0.3">
      <c r="A139" s="32" t="s">
        <v>278</v>
      </c>
      <c r="B139" s="33">
        <v>45600</v>
      </c>
      <c r="C139" s="32" t="s">
        <v>65</v>
      </c>
      <c r="D139" s="32" t="s">
        <v>66</v>
      </c>
      <c r="E139" s="32" t="s">
        <v>105</v>
      </c>
      <c r="F139" s="32" t="s">
        <v>106</v>
      </c>
      <c r="G139" s="32" t="s">
        <v>46</v>
      </c>
      <c r="H139" s="32">
        <v>3</v>
      </c>
      <c r="I139" s="34">
        <v>299.99</v>
      </c>
      <c r="J139" s="32" t="s">
        <v>26</v>
      </c>
      <c r="K139" s="32" t="s">
        <v>35</v>
      </c>
      <c r="L139" s="32" t="s">
        <v>36</v>
      </c>
      <c r="M139" s="33">
        <v>44502</v>
      </c>
      <c r="N139" s="34">
        <v>899.97</v>
      </c>
    </row>
    <row r="140" spans="1:14" x14ac:dyDescent="0.3">
      <c r="A140" s="32" t="s">
        <v>279</v>
      </c>
      <c r="B140" s="33">
        <v>45603</v>
      </c>
      <c r="C140" s="32" t="s">
        <v>99</v>
      </c>
      <c r="D140" s="32" t="s">
        <v>100</v>
      </c>
      <c r="E140" s="32" t="s">
        <v>117</v>
      </c>
      <c r="F140" s="32" t="s">
        <v>118</v>
      </c>
      <c r="G140" s="32" t="s">
        <v>19</v>
      </c>
      <c r="H140" s="32">
        <v>3</v>
      </c>
      <c r="I140" s="34">
        <v>89.99</v>
      </c>
      <c r="J140" s="32" t="s">
        <v>26</v>
      </c>
      <c r="K140" s="32" t="s">
        <v>40</v>
      </c>
      <c r="L140" s="32" t="s">
        <v>27</v>
      </c>
      <c r="M140" s="33">
        <v>44420</v>
      </c>
      <c r="N140" s="34">
        <v>269.97000000000003</v>
      </c>
    </row>
    <row r="141" spans="1:14" x14ac:dyDescent="0.3">
      <c r="A141" s="32" t="s">
        <v>280</v>
      </c>
      <c r="B141" s="33">
        <v>45604</v>
      </c>
      <c r="C141" s="32" t="s">
        <v>89</v>
      </c>
      <c r="D141" s="32" t="s">
        <v>90</v>
      </c>
      <c r="E141" s="32" t="s">
        <v>44</v>
      </c>
      <c r="F141" s="32" t="s">
        <v>45</v>
      </c>
      <c r="G141" s="32" t="s">
        <v>46</v>
      </c>
      <c r="H141" s="32">
        <v>2</v>
      </c>
      <c r="I141" s="34">
        <v>149.99</v>
      </c>
      <c r="J141" s="32" t="s">
        <v>26</v>
      </c>
      <c r="K141" s="32" t="s">
        <v>50</v>
      </c>
      <c r="L141" s="32" t="s">
        <v>27</v>
      </c>
      <c r="M141" s="33">
        <v>44848</v>
      </c>
      <c r="N141" s="34">
        <v>299.98</v>
      </c>
    </row>
    <row r="142" spans="1:14" x14ac:dyDescent="0.3">
      <c r="A142" s="32" t="s">
        <v>281</v>
      </c>
      <c r="B142" s="33">
        <v>45605</v>
      </c>
      <c r="C142" s="32" t="s">
        <v>185</v>
      </c>
      <c r="D142" s="32" t="s">
        <v>186</v>
      </c>
      <c r="E142" s="32" t="s">
        <v>17</v>
      </c>
      <c r="F142" s="32" t="s">
        <v>18</v>
      </c>
      <c r="G142" s="32" t="s">
        <v>19</v>
      </c>
      <c r="H142" s="32">
        <v>1</v>
      </c>
      <c r="I142" s="34">
        <v>249.99</v>
      </c>
      <c r="J142" s="32" t="s">
        <v>26</v>
      </c>
      <c r="K142" s="32" t="s">
        <v>40</v>
      </c>
      <c r="L142" s="32" t="s">
        <v>27</v>
      </c>
      <c r="M142" s="33">
        <v>44828</v>
      </c>
      <c r="N142" s="34">
        <v>249.99</v>
      </c>
    </row>
    <row r="143" spans="1:14" x14ac:dyDescent="0.3">
      <c r="A143" s="32" t="s">
        <v>282</v>
      </c>
      <c r="B143" s="33">
        <v>45607</v>
      </c>
      <c r="C143" s="32" t="s">
        <v>72</v>
      </c>
      <c r="D143" s="32" t="s">
        <v>73</v>
      </c>
      <c r="E143" s="32" t="s">
        <v>52</v>
      </c>
      <c r="F143" s="32" t="s">
        <v>53</v>
      </c>
      <c r="G143" s="32" t="s">
        <v>19</v>
      </c>
      <c r="H143" s="32">
        <v>3</v>
      </c>
      <c r="I143" s="34">
        <v>149.99</v>
      </c>
      <c r="J143" s="32" t="s">
        <v>20</v>
      </c>
      <c r="K143" s="32" t="s">
        <v>40</v>
      </c>
      <c r="L143" s="32" t="s">
        <v>22</v>
      </c>
      <c r="M143" s="33">
        <v>44769</v>
      </c>
      <c r="N143" s="34">
        <v>449.97</v>
      </c>
    </row>
    <row r="144" spans="1:14" x14ac:dyDescent="0.3">
      <c r="A144" s="32" t="s">
        <v>283</v>
      </c>
      <c r="B144" s="33">
        <v>45607</v>
      </c>
      <c r="C144" s="32" t="s">
        <v>15</v>
      </c>
      <c r="D144" s="32" t="s">
        <v>16</v>
      </c>
      <c r="E144" s="32" t="s">
        <v>31</v>
      </c>
      <c r="F144" s="32" t="s">
        <v>32</v>
      </c>
      <c r="G144" s="32" t="s">
        <v>33</v>
      </c>
      <c r="H144" s="32">
        <v>5</v>
      </c>
      <c r="I144" s="34">
        <v>59.99</v>
      </c>
      <c r="J144" s="32" t="s">
        <v>34</v>
      </c>
      <c r="K144" s="32" t="s">
        <v>50</v>
      </c>
      <c r="L144" s="32" t="s">
        <v>27</v>
      </c>
      <c r="M144" s="33">
        <v>44694</v>
      </c>
      <c r="N144" s="34">
        <v>299.95</v>
      </c>
    </row>
    <row r="145" spans="1:14" x14ac:dyDescent="0.3">
      <c r="A145" s="32" t="s">
        <v>284</v>
      </c>
      <c r="B145" s="33">
        <v>45607</v>
      </c>
      <c r="C145" s="32" t="s">
        <v>99</v>
      </c>
      <c r="D145" s="32" t="s">
        <v>100</v>
      </c>
      <c r="E145" s="32" t="s">
        <v>17</v>
      </c>
      <c r="F145" s="32" t="s">
        <v>18</v>
      </c>
      <c r="G145" s="32" t="s">
        <v>19</v>
      </c>
      <c r="H145" s="32">
        <v>4</v>
      </c>
      <c r="I145" s="34">
        <v>249.99</v>
      </c>
      <c r="J145" s="32" t="s">
        <v>26</v>
      </c>
      <c r="K145" s="32" t="s">
        <v>50</v>
      </c>
      <c r="L145" s="32" t="s">
        <v>36</v>
      </c>
      <c r="M145" s="33">
        <v>44659</v>
      </c>
      <c r="N145" s="34">
        <v>999.96</v>
      </c>
    </row>
    <row r="146" spans="1:14" x14ac:dyDescent="0.3">
      <c r="A146" s="32" t="s">
        <v>285</v>
      </c>
      <c r="B146" s="33">
        <v>45608</v>
      </c>
      <c r="C146" s="32" t="s">
        <v>154</v>
      </c>
      <c r="D146" s="32" t="s">
        <v>155</v>
      </c>
      <c r="E146" s="32" t="s">
        <v>44</v>
      </c>
      <c r="F146" s="32" t="s">
        <v>45</v>
      </c>
      <c r="G146" s="32" t="s">
        <v>46</v>
      </c>
      <c r="H146" s="32">
        <v>5</v>
      </c>
      <c r="I146" s="34">
        <v>149.99</v>
      </c>
      <c r="J146" s="32" t="s">
        <v>34</v>
      </c>
      <c r="K146" s="32" t="s">
        <v>21</v>
      </c>
      <c r="L146" s="32" t="s">
        <v>22</v>
      </c>
      <c r="M146" s="33">
        <v>44901</v>
      </c>
      <c r="N146" s="34">
        <v>749.95</v>
      </c>
    </row>
    <row r="147" spans="1:14" x14ac:dyDescent="0.3">
      <c r="A147" s="32" t="s">
        <v>286</v>
      </c>
      <c r="B147" s="33">
        <v>45608</v>
      </c>
      <c r="C147" s="32" t="s">
        <v>83</v>
      </c>
      <c r="D147" s="32" t="s">
        <v>84</v>
      </c>
      <c r="E147" s="32" t="s">
        <v>31</v>
      </c>
      <c r="F147" s="32" t="s">
        <v>32</v>
      </c>
      <c r="G147" s="32" t="s">
        <v>33</v>
      </c>
      <c r="H147" s="32">
        <v>3</v>
      </c>
      <c r="I147" s="34">
        <v>59.99</v>
      </c>
      <c r="J147" s="32" t="s">
        <v>57</v>
      </c>
      <c r="K147" s="32" t="s">
        <v>35</v>
      </c>
      <c r="L147" s="32" t="s">
        <v>36</v>
      </c>
      <c r="M147" s="33">
        <v>45260</v>
      </c>
      <c r="N147" s="34">
        <v>179.97</v>
      </c>
    </row>
    <row r="148" spans="1:14" x14ac:dyDescent="0.3">
      <c r="A148" s="32" t="s">
        <v>287</v>
      </c>
      <c r="B148" s="33">
        <v>45613</v>
      </c>
      <c r="C148" s="32" t="s">
        <v>234</v>
      </c>
      <c r="D148" s="32" t="s">
        <v>235</v>
      </c>
      <c r="E148" s="32" t="s">
        <v>44</v>
      </c>
      <c r="F148" s="32" t="s">
        <v>45</v>
      </c>
      <c r="G148" s="32" t="s">
        <v>46</v>
      </c>
      <c r="H148" s="32">
        <v>5</v>
      </c>
      <c r="I148" s="34">
        <v>149.99</v>
      </c>
      <c r="J148" s="32" t="s">
        <v>20</v>
      </c>
      <c r="K148" s="32" t="s">
        <v>40</v>
      </c>
      <c r="L148" s="32" t="s">
        <v>22</v>
      </c>
      <c r="M148" s="33">
        <v>44869</v>
      </c>
      <c r="N148" s="34">
        <v>749.95</v>
      </c>
    </row>
    <row r="149" spans="1:14" x14ac:dyDescent="0.3">
      <c r="A149" s="32" t="s">
        <v>288</v>
      </c>
      <c r="B149" s="33">
        <v>45613</v>
      </c>
      <c r="C149" s="32" t="s">
        <v>86</v>
      </c>
      <c r="D149" s="32" t="s">
        <v>87</v>
      </c>
      <c r="E149" s="32" t="s">
        <v>80</v>
      </c>
      <c r="F149" s="32" t="s">
        <v>81</v>
      </c>
      <c r="G149" s="32" t="s">
        <v>19</v>
      </c>
      <c r="H149" s="32">
        <v>2</v>
      </c>
      <c r="I149" s="34">
        <v>699.99</v>
      </c>
      <c r="J149" s="32" t="s">
        <v>34</v>
      </c>
      <c r="K149" s="32" t="s">
        <v>50</v>
      </c>
      <c r="L149" s="32" t="s">
        <v>36</v>
      </c>
      <c r="M149" s="33">
        <v>44770</v>
      </c>
      <c r="N149" s="34">
        <v>1399.98</v>
      </c>
    </row>
    <row r="150" spans="1:14" x14ac:dyDescent="0.3">
      <c r="A150" s="32" t="s">
        <v>289</v>
      </c>
      <c r="B150" s="33">
        <v>45617</v>
      </c>
      <c r="C150" s="32" t="s">
        <v>123</v>
      </c>
      <c r="D150" s="32" t="s">
        <v>124</v>
      </c>
      <c r="E150" s="32" t="s">
        <v>126</v>
      </c>
      <c r="F150" s="32" t="s">
        <v>127</v>
      </c>
      <c r="G150" s="32" t="s">
        <v>46</v>
      </c>
      <c r="H150" s="32">
        <v>4</v>
      </c>
      <c r="I150" s="34">
        <v>199.99</v>
      </c>
      <c r="J150" s="32" t="s">
        <v>57</v>
      </c>
      <c r="K150" s="32" t="s">
        <v>21</v>
      </c>
      <c r="L150" s="32" t="s">
        <v>27</v>
      </c>
      <c r="M150" s="33">
        <v>44427</v>
      </c>
      <c r="N150" s="34">
        <v>799.96</v>
      </c>
    </row>
    <row r="151" spans="1:14" x14ac:dyDescent="0.3">
      <c r="A151" s="32" t="s">
        <v>290</v>
      </c>
      <c r="B151" s="33">
        <v>45619</v>
      </c>
      <c r="C151" s="32" t="s">
        <v>192</v>
      </c>
      <c r="D151" s="32" t="s">
        <v>193</v>
      </c>
      <c r="E151" s="32" t="s">
        <v>31</v>
      </c>
      <c r="F151" s="32" t="s">
        <v>32</v>
      </c>
      <c r="G151" s="32" t="s">
        <v>33</v>
      </c>
      <c r="H151" s="32">
        <v>1</v>
      </c>
      <c r="I151" s="34">
        <v>59.99</v>
      </c>
      <c r="J151" s="32" t="s">
        <v>57</v>
      </c>
      <c r="K151" s="32" t="s">
        <v>50</v>
      </c>
      <c r="L151" s="32" t="s">
        <v>36</v>
      </c>
      <c r="M151" s="33">
        <v>44560</v>
      </c>
      <c r="N151" s="34">
        <v>59.99</v>
      </c>
    </row>
    <row r="152" spans="1:14" x14ac:dyDescent="0.3">
      <c r="A152" s="32" t="s">
        <v>291</v>
      </c>
      <c r="B152" s="33">
        <v>45619</v>
      </c>
      <c r="C152" s="32" t="s">
        <v>154</v>
      </c>
      <c r="D152" s="32" t="s">
        <v>155</v>
      </c>
      <c r="E152" s="32" t="s">
        <v>80</v>
      </c>
      <c r="F152" s="32" t="s">
        <v>81</v>
      </c>
      <c r="G152" s="32" t="s">
        <v>19</v>
      </c>
      <c r="H152" s="32">
        <v>3</v>
      </c>
      <c r="I152" s="34">
        <v>699.99</v>
      </c>
      <c r="J152" s="32" t="s">
        <v>34</v>
      </c>
      <c r="K152" s="32" t="s">
        <v>50</v>
      </c>
      <c r="L152" s="32" t="s">
        <v>36</v>
      </c>
      <c r="M152" s="33">
        <v>44583</v>
      </c>
      <c r="N152" s="34">
        <v>2099.9699999999998</v>
      </c>
    </row>
    <row r="153" spans="1:14" x14ac:dyDescent="0.3">
      <c r="A153" s="32" t="s">
        <v>292</v>
      </c>
      <c r="B153" s="33">
        <v>45622</v>
      </c>
      <c r="C153" s="32" t="s">
        <v>293</v>
      </c>
      <c r="D153" s="32" t="s">
        <v>294</v>
      </c>
      <c r="E153" s="32" t="s">
        <v>17</v>
      </c>
      <c r="F153" s="32" t="s">
        <v>18</v>
      </c>
      <c r="G153" s="32" t="s">
        <v>19</v>
      </c>
      <c r="H153" s="32">
        <v>5</v>
      </c>
      <c r="I153" s="34">
        <v>249.99</v>
      </c>
      <c r="J153" s="32" t="s">
        <v>26</v>
      </c>
      <c r="K153" s="32" t="s">
        <v>40</v>
      </c>
      <c r="L153" s="32" t="s">
        <v>22</v>
      </c>
      <c r="M153" s="33">
        <v>44873</v>
      </c>
      <c r="N153" s="34">
        <v>1249.95</v>
      </c>
    </row>
    <row r="154" spans="1:14" x14ac:dyDescent="0.3">
      <c r="A154" s="32" t="s">
        <v>295</v>
      </c>
      <c r="B154" s="33">
        <v>45623</v>
      </c>
      <c r="C154" s="32" t="s">
        <v>112</v>
      </c>
      <c r="D154" s="32" t="s">
        <v>113</v>
      </c>
      <c r="E154" s="32" t="s">
        <v>44</v>
      </c>
      <c r="F154" s="32" t="s">
        <v>45</v>
      </c>
      <c r="G154" s="32" t="s">
        <v>46</v>
      </c>
      <c r="H154" s="32">
        <v>2</v>
      </c>
      <c r="I154" s="34">
        <v>149.99</v>
      </c>
      <c r="J154" s="32" t="s">
        <v>20</v>
      </c>
      <c r="K154" s="32" t="s">
        <v>35</v>
      </c>
      <c r="L154" s="32" t="s">
        <v>36</v>
      </c>
      <c r="M154" s="33">
        <v>45101</v>
      </c>
      <c r="N154" s="34">
        <v>299.98</v>
      </c>
    </row>
    <row r="155" spans="1:14" x14ac:dyDescent="0.3">
      <c r="A155" s="32" t="s">
        <v>296</v>
      </c>
      <c r="B155" s="33">
        <v>45627</v>
      </c>
      <c r="C155" s="32" t="s">
        <v>29</v>
      </c>
      <c r="D155" s="32" t="s">
        <v>30</v>
      </c>
      <c r="E155" s="32" t="s">
        <v>105</v>
      </c>
      <c r="F155" s="32" t="s">
        <v>106</v>
      </c>
      <c r="G155" s="32" t="s">
        <v>46</v>
      </c>
      <c r="H155" s="32">
        <v>3</v>
      </c>
      <c r="I155" s="34">
        <v>299.99</v>
      </c>
      <c r="J155" s="32" t="s">
        <v>20</v>
      </c>
      <c r="K155" s="32" t="s">
        <v>35</v>
      </c>
      <c r="L155" s="32" t="s">
        <v>27</v>
      </c>
      <c r="M155" s="33">
        <v>44659</v>
      </c>
      <c r="N155" s="34">
        <v>899.97</v>
      </c>
    </row>
    <row r="156" spans="1:14" x14ac:dyDescent="0.3">
      <c r="A156" s="32" t="s">
        <v>297</v>
      </c>
      <c r="B156" s="33">
        <v>45627</v>
      </c>
      <c r="C156" s="32" t="s">
        <v>55</v>
      </c>
      <c r="D156" s="32" t="s">
        <v>56</v>
      </c>
      <c r="E156" s="32" t="s">
        <v>17</v>
      </c>
      <c r="F156" s="32" t="s">
        <v>18</v>
      </c>
      <c r="G156" s="32" t="s">
        <v>19</v>
      </c>
      <c r="H156" s="32">
        <v>5</v>
      </c>
      <c r="I156" s="34">
        <v>249.99</v>
      </c>
      <c r="J156" s="32" t="s">
        <v>20</v>
      </c>
      <c r="K156" s="32" t="s">
        <v>21</v>
      </c>
      <c r="L156" s="32" t="s">
        <v>27</v>
      </c>
      <c r="M156" s="33">
        <v>44485</v>
      </c>
      <c r="N156" s="34">
        <v>1249.95</v>
      </c>
    </row>
    <row r="157" spans="1:14" x14ac:dyDescent="0.3">
      <c r="A157" s="32" t="s">
        <v>298</v>
      </c>
      <c r="B157" s="33">
        <v>45627</v>
      </c>
      <c r="C157" s="32" t="s">
        <v>24</v>
      </c>
      <c r="D157" s="32" t="s">
        <v>25</v>
      </c>
      <c r="E157" s="32" t="s">
        <v>52</v>
      </c>
      <c r="F157" s="32" t="s">
        <v>53</v>
      </c>
      <c r="G157" s="32" t="s">
        <v>19</v>
      </c>
      <c r="H157" s="32">
        <v>2</v>
      </c>
      <c r="I157" s="34">
        <v>149.99</v>
      </c>
      <c r="J157" s="32" t="s">
        <v>20</v>
      </c>
      <c r="K157" s="32" t="s">
        <v>35</v>
      </c>
      <c r="L157" s="32" t="s">
        <v>27</v>
      </c>
      <c r="M157" s="33">
        <v>44475</v>
      </c>
      <c r="N157" s="34">
        <v>299.98</v>
      </c>
    </row>
    <row r="158" spans="1:14" x14ac:dyDescent="0.3">
      <c r="A158" s="32" t="s">
        <v>299</v>
      </c>
      <c r="B158" s="33">
        <v>45627</v>
      </c>
      <c r="C158" s="32" t="s">
        <v>86</v>
      </c>
      <c r="D158" s="32" t="s">
        <v>87</v>
      </c>
      <c r="E158" s="32" t="s">
        <v>80</v>
      </c>
      <c r="F158" s="32" t="s">
        <v>81</v>
      </c>
      <c r="G158" s="32" t="s">
        <v>19</v>
      </c>
      <c r="H158" s="32">
        <v>5</v>
      </c>
      <c r="I158" s="34">
        <v>699.99</v>
      </c>
      <c r="J158" s="32" t="s">
        <v>57</v>
      </c>
      <c r="K158" s="32" t="s">
        <v>50</v>
      </c>
      <c r="L158" s="32" t="s">
        <v>36</v>
      </c>
      <c r="M158" s="33">
        <v>44944</v>
      </c>
      <c r="N158" s="34">
        <v>3499.95</v>
      </c>
    </row>
    <row r="159" spans="1:14" x14ac:dyDescent="0.3">
      <c r="A159" s="32" t="s">
        <v>300</v>
      </c>
      <c r="B159" s="33">
        <v>45629</v>
      </c>
      <c r="C159" s="32" t="s">
        <v>252</v>
      </c>
      <c r="D159" s="32" t="s">
        <v>253</v>
      </c>
      <c r="E159" s="32" t="s">
        <v>17</v>
      </c>
      <c r="F159" s="32" t="s">
        <v>18</v>
      </c>
      <c r="G159" s="32" t="s">
        <v>19</v>
      </c>
      <c r="H159" s="32">
        <v>4</v>
      </c>
      <c r="I159" s="34">
        <v>249.99</v>
      </c>
      <c r="J159" s="32" t="s">
        <v>34</v>
      </c>
      <c r="K159" s="32" t="s">
        <v>63</v>
      </c>
      <c r="L159" s="32" t="s">
        <v>27</v>
      </c>
      <c r="M159" s="33">
        <v>45098</v>
      </c>
      <c r="N159" s="34">
        <v>999.96</v>
      </c>
    </row>
    <row r="160" spans="1:14" x14ac:dyDescent="0.3">
      <c r="A160" s="32" t="s">
        <v>301</v>
      </c>
      <c r="B160" s="33">
        <v>45630</v>
      </c>
      <c r="C160" s="32" t="s">
        <v>48</v>
      </c>
      <c r="D160" s="32" t="s">
        <v>49</v>
      </c>
      <c r="E160" s="32" t="s">
        <v>80</v>
      </c>
      <c r="F160" s="32" t="s">
        <v>81</v>
      </c>
      <c r="G160" s="32" t="s">
        <v>19</v>
      </c>
      <c r="H160" s="32">
        <v>4</v>
      </c>
      <c r="I160" s="34">
        <v>699.99</v>
      </c>
      <c r="J160" s="32" t="s">
        <v>26</v>
      </c>
      <c r="K160" s="32" t="s">
        <v>40</v>
      </c>
      <c r="L160" s="32" t="s">
        <v>27</v>
      </c>
      <c r="M160" s="33">
        <v>44703</v>
      </c>
      <c r="N160" s="34">
        <v>2799.96</v>
      </c>
    </row>
    <row r="161" spans="1:14" x14ac:dyDescent="0.3">
      <c r="A161" s="32" t="s">
        <v>302</v>
      </c>
      <c r="B161" s="33">
        <v>45635</v>
      </c>
      <c r="C161" s="32" t="s">
        <v>108</v>
      </c>
      <c r="D161" s="32" t="s">
        <v>109</v>
      </c>
      <c r="E161" s="32" t="s">
        <v>17</v>
      </c>
      <c r="F161" s="32" t="s">
        <v>18</v>
      </c>
      <c r="G161" s="32" t="s">
        <v>19</v>
      </c>
      <c r="H161" s="32">
        <v>2</v>
      </c>
      <c r="I161" s="34">
        <v>249.99</v>
      </c>
      <c r="J161" s="32" t="s">
        <v>26</v>
      </c>
      <c r="K161" s="32" t="s">
        <v>21</v>
      </c>
      <c r="L161" s="32" t="s">
        <v>27</v>
      </c>
      <c r="M161" s="33">
        <v>44396</v>
      </c>
      <c r="N161" s="34">
        <v>499.98</v>
      </c>
    </row>
    <row r="162" spans="1:14" x14ac:dyDescent="0.3">
      <c r="A162" s="32" t="s">
        <v>303</v>
      </c>
      <c r="B162" s="33">
        <v>45635</v>
      </c>
      <c r="C162" s="32" t="s">
        <v>304</v>
      </c>
      <c r="D162" s="32" t="s">
        <v>305</v>
      </c>
      <c r="E162" s="32" t="s">
        <v>31</v>
      </c>
      <c r="F162" s="32" t="s">
        <v>32</v>
      </c>
      <c r="G162" s="32" t="s">
        <v>33</v>
      </c>
      <c r="H162" s="32">
        <v>3</v>
      </c>
      <c r="I162" s="34">
        <v>59.99</v>
      </c>
      <c r="J162" s="32" t="s">
        <v>20</v>
      </c>
      <c r="K162" s="32" t="s">
        <v>21</v>
      </c>
      <c r="L162" s="32" t="s">
        <v>27</v>
      </c>
      <c r="M162" s="33">
        <v>45052</v>
      </c>
      <c r="N162" s="34">
        <v>179.97</v>
      </c>
    </row>
    <row r="163" spans="1:14" x14ac:dyDescent="0.3">
      <c r="A163" s="32" t="s">
        <v>306</v>
      </c>
      <c r="B163" s="33">
        <v>45635</v>
      </c>
      <c r="C163" s="32" t="s">
        <v>141</v>
      </c>
      <c r="D163" s="32" t="s">
        <v>142</v>
      </c>
      <c r="E163" s="32" t="s">
        <v>114</v>
      </c>
      <c r="F163" s="32" t="s">
        <v>115</v>
      </c>
      <c r="G163" s="32" t="s">
        <v>33</v>
      </c>
      <c r="H163" s="32">
        <v>4</v>
      </c>
      <c r="I163" s="34">
        <v>79.989999999999995</v>
      </c>
      <c r="J163" s="32" t="s">
        <v>57</v>
      </c>
      <c r="K163" s="32" t="s">
        <v>63</v>
      </c>
      <c r="L163" s="32" t="s">
        <v>36</v>
      </c>
      <c r="M163" s="33">
        <v>44921</v>
      </c>
      <c r="N163" s="34">
        <v>319.95999999999998</v>
      </c>
    </row>
    <row r="164" spans="1:14" x14ac:dyDescent="0.3">
      <c r="A164" s="32" t="s">
        <v>307</v>
      </c>
      <c r="B164" s="33">
        <v>45636</v>
      </c>
      <c r="C164" s="32" t="s">
        <v>120</v>
      </c>
      <c r="D164" s="32" t="s">
        <v>121</v>
      </c>
      <c r="E164" s="32" t="s">
        <v>114</v>
      </c>
      <c r="F164" s="32" t="s">
        <v>115</v>
      </c>
      <c r="G164" s="32" t="s">
        <v>33</v>
      </c>
      <c r="H164" s="32">
        <v>3</v>
      </c>
      <c r="I164" s="34">
        <v>79.989999999999995</v>
      </c>
      <c r="J164" s="32" t="s">
        <v>57</v>
      </c>
      <c r="K164" s="32" t="s">
        <v>63</v>
      </c>
      <c r="L164" s="32" t="s">
        <v>36</v>
      </c>
      <c r="M164" s="33">
        <v>44779</v>
      </c>
      <c r="N164" s="34">
        <v>239.97</v>
      </c>
    </row>
    <row r="165" spans="1:14" x14ac:dyDescent="0.3">
      <c r="A165" s="32" t="s">
        <v>308</v>
      </c>
      <c r="B165" s="33">
        <v>45638</v>
      </c>
      <c r="C165" s="32" t="s">
        <v>72</v>
      </c>
      <c r="D165" s="32" t="s">
        <v>73</v>
      </c>
      <c r="E165" s="32" t="s">
        <v>61</v>
      </c>
      <c r="F165" s="32" t="s">
        <v>62</v>
      </c>
      <c r="G165" s="32" t="s">
        <v>19</v>
      </c>
      <c r="H165" s="32">
        <v>2</v>
      </c>
      <c r="I165" s="34">
        <v>899.99</v>
      </c>
      <c r="J165" s="32" t="s">
        <v>20</v>
      </c>
      <c r="K165" s="32" t="s">
        <v>40</v>
      </c>
      <c r="L165" s="32" t="s">
        <v>22</v>
      </c>
      <c r="M165" s="33">
        <v>44406</v>
      </c>
      <c r="N165" s="34">
        <v>1799.98</v>
      </c>
    </row>
    <row r="166" spans="1:14" x14ac:dyDescent="0.3">
      <c r="A166" s="32" t="s">
        <v>309</v>
      </c>
      <c r="B166" s="33">
        <v>45641</v>
      </c>
      <c r="C166" s="32" t="s">
        <v>182</v>
      </c>
      <c r="D166" s="32" t="s">
        <v>183</v>
      </c>
      <c r="E166" s="32" t="s">
        <v>44</v>
      </c>
      <c r="F166" s="32" t="s">
        <v>45</v>
      </c>
      <c r="G166" s="32" t="s">
        <v>46</v>
      </c>
      <c r="H166" s="32">
        <v>1</v>
      </c>
      <c r="I166" s="34">
        <v>149.99</v>
      </c>
      <c r="J166" s="32" t="s">
        <v>57</v>
      </c>
      <c r="K166" s="32" t="s">
        <v>63</v>
      </c>
      <c r="L166" s="32" t="s">
        <v>36</v>
      </c>
      <c r="M166" s="33">
        <v>45200</v>
      </c>
      <c r="N166" s="34">
        <v>149.99</v>
      </c>
    </row>
    <row r="167" spans="1:14" x14ac:dyDescent="0.3">
      <c r="A167" s="32" t="s">
        <v>310</v>
      </c>
      <c r="B167" s="33">
        <v>45641</v>
      </c>
      <c r="C167" s="32" t="s">
        <v>138</v>
      </c>
      <c r="D167" s="32" t="s">
        <v>139</v>
      </c>
      <c r="E167" s="32" t="s">
        <v>105</v>
      </c>
      <c r="F167" s="32" t="s">
        <v>106</v>
      </c>
      <c r="G167" s="32" t="s">
        <v>46</v>
      </c>
      <c r="H167" s="32">
        <v>2</v>
      </c>
      <c r="I167" s="34">
        <v>299.99</v>
      </c>
      <c r="J167" s="32" t="s">
        <v>20</v>
      </c>
      <c r="K167" s="32" t="s">
        <v>63</v>
      </c>
      <c r="L167" s="32" t="s">
        <v>27</v>
      </c>
      <c r="M167" s="33">
        <v>44724</v>
      </c>
      <c r="N167" s="34">
        <v>599.98</v>
      </c>
    </row>
    <row r="168" spans="1:14" x14ac:dyDescent="0.3">
      <c r="A168" s="32" t="s">
        <v>311</v>
      </c>
      <c r="B168" s="33">
        <v>45644</v>
      </c>
      <c r="C168" s="32" t="s">
        <v>132</v>
      </c>
      <c r="D168" s="32" t="s">
        <v>133</v>
      </c>
      <c r="E168" s="32" t="s">
        <v>31</v>
      </c>
      <c r="F168" s="32" t="s">
        <v>32</v>
      </c>
      <c r="G168" s="32" t="s">
        <v>33</v>
      </c>
      <c r="H168" s="32">
        <v>2</v>
      </c>
      <c r="I168" s="34">
        <v>59.99</v>
      </c>
      <c r="J168" s="32" t="s">
        <v>20</v>
      </c>
      <c r="K168" s="32" t="s">
        <v>50</v>
      </c>
      <c r="L168" s="32" t="s">
        <v>22</v>
      </c>
      <c r="M168" s="33">
        <v>45191</v>
      </c>
      <c r="N168" s="34">
        <v>119.98</v>
      </c>
    </row>
    <row r="169" spans="1:14" x14ac:dyDescent="0.3">
      <c r="A169" s="32" t="s">
        <v>312</v>
      </c>
      <c r="B169" s="33">
        <v>45645</v>
      </c>
      <c r="C169" s="32" t="s">
        <v>182</v>
      </c>
      <c r="D169" s="32" t="s">
        <v>183</v>
      </c>
      <c r="E169" s="32" t="s">
        <v>117</v>
      </c>
      <c r="F169" s="32" t="s">
        <v>118</v>
      </c>
      <c r="G169" s="32" t="s">
        <v>19</v>
      </c>
      <c r="H169" s="32">
        <v>1</v>
      </c>
      <c r="I169" s="34">
        <v>89.99</v>
      </c>
      <c r="J169" s="32" t="s">
        <v>57</v>
      </c>
      <c r="K169" s="32" t="s">
        <v>21</v>
      </c>
      <c r="L169" s="32" t="s">
        <v>36</v>
      </c>
      <c r="M169" s="33">
        <v>44760</v>
      </c>
      <c r="N169" s="34">
        <v>89.99</v>
      </c>
    </row>
    <row r="170" spans="1:14" x14ac:dyDescent="0.3">
      <c r="A170" s="32" t="s">
        <v>313</v>
      </c>
      <c r="B170" s="33">
        <v>45645</v>
      </c>
      <c r="C170" s="32" t="s">
        <v>147</v>
      </c>
      <c r="D170" s="32" t="s">
        <v>148</v>
      </c>
      <c r="E170" s="32" t="s">
        <v>61</v>
      </c>
      <c r="F170" s="32" t="s">
        <v>62</v>
      </c>
      <c r="G170" s="32" t="s">
        <v>19</v>
      </c>
      <c r="H170" s="32">
        <v>5</v>
      </c>
      <c r="I170" s="34">
        <v>899.99</v>
      </c>
      <c r="J170" s="32" t="s">
        <v>57</v>
      </c>
      <c r="K170" s="32" t="s">
        <v>63</v>
      </c>
      <c r="L170" s="32" t="s">
        <v>36</v>
      </c>
      <c r="M170" s="33">
        <v>44625</v>
      </c>
      <c r="N170" s="34">
        <v>4499.95</v>
      </c>
    </row>
    <row r="171" spans="1:14" x14ac:dyDescent="0.3">
      <c r="A171" s="32" t="s">
        <v>314</v>
      </c>
      <c r="B171" s="33">
        <v>45646</v>
      </c>
      <c r="C171" s="32" t="s">
        <v>42</v>
      </c>
      <c r="D171" s="32" t="s">
        <v>43</v>
      </c>
      <c r="E171" s="32" t="s">
        <v>44</v>
      </c>
      <c r="F171" s="32" t="s">
        <v>45</v>
      </c>
      <c r="G171" s="32" t="s">
        <v>46</v>
      </c>
      <c r="H171" s="32">
        <v>2</v>
      </c>
      <c r="I171" s="34">
        <v>149.99</v>
      </c>
      <c r="J171" s="32" t="s">
        <v>20</v>
      </c>
      <c r="K171" s="32" t="s">
        <v>35</v>
      </c>
      <c r="L171" s="32" t="s">
        <v>22</v>
      </c>
      <c r="M171" s="33">
        <v>45239</v>
      </c>
      <c r="N171" s="34">
        <v>299.98</v>
      </c>
    </row>
    <row r="172" spans="1:14" x14ac:dyDescent="0.3">
      <c r="A172" s="32" t="s">
        <v>315</v>
      </c>
      <c r="B172" s="33">
        <v>45648</v>
      </c>
      <c r="C172" s="32" t="s">
        <v>112</v>
      </c>
      <c r="D172" s="32" t="s">
        <v>113</v>
      </c>
      <c r="E172" s="32" t="s">
        <v>52</v>
      </c>
      <c r="F172" s="32" t="s">
        <v>53</v>
      </c>
      <c r="G172" s="32" t="s">
        <v>19</v>
      </c>
      <c r="H172" s="32">
        <v>2</v>
      </c>
      <c r="I172" s="34">
        <v>149.99</v>
      </c>
      <c r="J172" s="32" t="s">
        <v>57</v>
      </c>
      <c r="K172" s="32" t="s">
        <v>50</v>
      </c>
      <c r="L172" s="32" t="s">
        <v>27</v>
      </c>
      <c r="M172" s="33">
        <v>45280</v>
      </c>
      <c r="N172" s="34">
        <v>299.98</v>
      </c>
    </row>
    <row r="173" spans="1:14" x14ac:dyDescent="0.3">
      <c r="A173" s="32" t="s">
        <v>316</v>
      </c>
      <c r="B173" s="33">
        <v>45648</v>
      </c>
      <c r="C173" s="32" t="s">
        <v>182</v>
      </c>
      <c r="D173" s="32" t="s">
        <v>183</v>
      </c>
      <c r="E173" s="32" t="s">
        <v>44</v>
      </c>
      <c r="F173" s="32" t="s">
        <v>45</v>
      </c>
      <c r="G173" s="32" t="s">
        <v>46</v>
      </c>
      <c r="H173" s="32">
        <v>3</v>
      </c>
      <c r="I173" s="34">
        <v>149.99</v>
      </c>
      <c r="J173" s="32" t="s">
        <v>57</v>
      </c>
      <c r="K173" s="32" t="s">
        <v>40</v>
      </c>
      <c r="L173" s="32" t="s">
        <v>36</v>
      </c>
      <c r="M173" s="33">
        <v>44522</v>
      </c>
      <c r="N173" s="34">
        <v>449.97</v>
      </c>
    </row>
    <row r="174" spans="1:14" x14ac:dyDescent="0.3">
      <c r="A174" s="32" t="s">
        <v>317</v>
      </c>
      <c r="B174" s="33">
        <v>45649</v>
      </c>
      <c r="C174" s="32" t="s">
        <v>29</v>
      </c>
      <c r="D174" s="32" t="s">
        <v>30</v>
      </c>
      <c r="E174" s="32" t="s">
        <v>105</v>
      </c>
      <c r="F174" s="32" t="s">
        <v>106</v>
      </c>
      <c r="G174" s="32" t="s">
        <v>46</v>
      </c>
      <c r="H174" s="32">
        <v>2</v>
      </c>
      <c r="I174" s="34">
        <v>299.99</v>
      </c>
      <c r="J174" s="32" t="s">
        <v>34</v>
      </c>
      <c r="K174" s="32" t="s">
        <v>35</v>
      </c>
      <c r="L174" s="32" t="s">
        <v>22</v>
      </c>
      <c r="M174" s="33">
        <v>44721</v>
      </c>
      <c r="N174" s="34">
        <v>599.98</v>
      </c>
    </row>
    <row r="175" spans="1:14" x14ac:dyDescent="0.3">
      <c r="A175" s="32" t="s">
        <v>318</v>
      </c>
      <c r="B175" s="33">
        <v>45654</v>
      </c>
      <c r="C175" s="32" t="s">
        <v>42</v>
      </c>
      <c r="D175" s="32" t="s">
        <v>43</v>
      </c>
      <c r="E175" s="32" t="s">
        <v>105</v>
      </c>
      <c r="F175" s="32" t="s">
        <v>106</v>
      </c>
      <c r="G175" s="32" t="s">
        <v>46</v>
      </c>
      <c r="H175" s="32">
        <v>2</v>
      </c>
      <c r="I175" s="34">
        <v>299.99</v>
      </c>
      <c r="J175" s="32" t="s">
        <v>20</v>
      </c>
      <c r="K175" s="32" t="s">
        <v>50</v>
      </c>
      <c r="L175" s="32" t="s">
        <v>22</v>
      </c>
      <c r="M175" s="33">
        <v>44771</v>
      </c>
      <c r="N175" s="34">
        <v>599.98</v>
      </c>
    </row>
    <row r="176" spans="1:14" x14ac:dyDescent="0.3">
      <c r="A176" s="32" t="s">
        <v>319</v>
      </c>
      <c r="B176" s="33">
        <v>45654</v>
      </c>
      <c r="C176" s="32" t="s">
        <v>120</v>
      </c>
      <c r="D176" s="32" t="s">
        <v>121</v>
      </c>
      <c r="E176" s="32" t="s">
        <v>126</v>
      </c>
      <c r="F176" s="32" t="s">
        <v>127</v>
      </c>
      <c r="G176" s="32" t="s">
        <v>46</v>
      </c>
      <c r="H176" s="32">
        <v>4</v>
      </c>
      <c r="I176" s="34">
        <v>199.99</v>
      </c>
      <c r="J176" s="32" t="s">
        <v>26</v>
      </c>
      <c r="K176" s="32" t="s">
        <v>21</v>
      </c>
      <c r="L176" s="32" t="s">
        <v>22</v>
      </c>
      <c r="M176" s="33">
        <v>44523</v>
      </c>
      <c r="N176" s="34">
        <v>799.96</v>
      </c>
    </row>
    <row r="177" spans="1:14" x14ac:dyDescent="0.3">
      <c r="A177" s="32" t="s">
        <v>320</v>
      </c>
      <c r="B177" s="33">
        <v>45655</v>
      </c>
      <c r="C177" s="32" t="s">
        <v>59</v>
      </c>
      <c r="D177" s="32" t="s">
        <v>60</v>
      </c>
      <c r="E177" s="32" t="s">
        <v>117</v>
      </c>
      <c r="F177" s="32" t="s">
        <v>118</v>
      </c>
      <c r="G177" s="32" t="s">
        <v>19</v>
      </c>
      <c r="H177" s="32">
        <v>1</v>
      </c>
      <c r="I177" s="34">
        <v>89.99</v>
      </c>
      <c r="J177" s="32" t="s">
        <v>26</v>
      </c>
      <c r="K177" s="32" t="s">
        <v>35</v>
      </c>
      <c r="L177" s="32" t="s">
        <v>27</v>
      </c>
      <c r="M177" s="33">
        <v>44591</v>
      </c>
      <c r="N177" s="34">
        <v>89.99</v>
      </c>
    </row>
    <row r="178" spans="1:14" x14ac:dyDescent="0.3">
      <c r="A178" s="32" t="s">
        <v>321</v>
      </c>
      <c r="B178" s="33">
        <v>45655</v>
      </c>
      <c r="C178" s="32" t="s">
        <v>108</v>
      </c>
      <c r="D178" s="32" t="s">
        <v>109</v>
      </c>
      <c r="E178" s="32" t="s">
        <v>44</v>
      </c>
      <c r="F178" s="32" t="s">
        <v>45</v>
      </c>
      <c r="G178" s="32" t="s">
        <v>46</v>
      </c>
      <c r="H178" s="32">
        <v>5</v>
      </c>
      <c r="I178" s="34">
        <v>149.99</v>
      </c>
      <c r="J178" s="32" t="s">
        <v>20</v>
      </c>
      <c r="K178" s="32" t="s">
        <v>21</v>
      </c>
      <c r="L178" s="32" t="s">
        <v>27</v>
      </c>
      <c r="M178" s="33">
        <v>45347</v>
      </c>
      <c r="N178" s="34">
        <v>749.95</v>
      </c>
    </row>
    <row r="179" spans="1:14" x14ac:dyDescent="0.3">
      <c r="A179" s="32" t="s">
        <v>322</v>
      </c>
      <c r="B179" s="33">
        <v>45657</v>
      </c>
      <c r="C179" s="32" t="s">
        <v>86</v>
      </c>
      <c r="D179" s="32" t="s">
        <v>87</v>
      </c>
      <c r="E179" s="32" t="s">
        <v>61</v>
      </c>
      <c r="F179" s="32" t="s">
        <v>62</v>
      </c>
      <c r="G179" s="32" t="s">
        <v>19</v>
      </c>
      <c r="H179" s="32">
        <v>1</v>
      </c>
      <c r="I179" s="34">
        <v>899.99</v>
      </c>
      <c r="J179" s="32" t="s">
        <v>34</v>
      </c>
      <c r="K179" s="32" t="s">
        <v>40</v>
      </c>
      <c r="L179" s="32" t="s">
        <v>27</v>
      </c>
      <c r="M179" s="33">
        <v>45050</v>
      </c>
      <c r="N179" s="34">
        <v>899.99</v>
      </c>
    </row>
    <row r="180" spans="1:14" x14ac:dyDescent="0.3">
      <c r="A180" s="32" t="s">
        <v>323</v>
      </c>
      <c r="B180" s="33">
        <v>45660</v>
      </c>
      <c r="C180" s="32" t="s">
        <v>147</v>
      </c>
      <c r="D180" s="32" t="s">
        <v>148</v>
      </c>
      <c r="E180" s="32" t="s">
        <v>117</v>
      </c>
      <c r="F180" s="32" t="s">
        <v>118</v>
      </c>
      <c r="G180" s="32" t="s">
        <v>19</v>
      </c>
      <c r="H180" s="32">
        <v>2</v>
      </c>
      <c r="I180" s="34">
        <v>89.99</v>
      </c>
      <c r="J180" s="32" t="s">
        <v>26</v>
      </c>
      <c r="K180" s="32" t="s">
        <v>35</v>
      </c>
      <c r="L180" s="32" t="s">
        <v>27</v>
      </c>
      <c r="M180" s="33">
        <v>44564</v>
      </c>
      <c r="N180" s="34">
        <v>179.98</v>
      </c>
    </row>
    <row r="181" spans="1:14" x14ac:dyDescent="0.3">
      <c r="A181" s="32" t="s">
        <v>324</v>
      </c>
      <c r="B181" s="33">
        <v>45661</v>
      </c>
      <c r="C181" s="32" t="s">
        <v>325</v>
      </c>
      <c r="D181" s="32" t="s">
        <v>326</v>
      </c>
      <c r="E181" s="32" t="s">
        <v>61</v>
      </c>
      <c r="F181" s="32" t="s">
        <v>62</v>
      </c>
      <c r="G181" s="32" t="s">
        <v>19</v>
      </c>
      <c r="H181" s="32">
        <v>1</v>
      </c>
      <c r="I181" s="34">
        <v>899.99</v>
      </c>
      <c r="J181" s="32" t="s">
        <v>34</v>
      </c>
      <c r="K181" s="32" t="s">
        <v>40</v>
      </c>
      <c r="L181" s="32" t="s">
        <v>36</v>
      </c>
      <c r="M181" s="33">
        <v>44752</v>
      </c>
      <c r="N181" s="34">
        <v>899.99</v>
      </c>
    </row>
    <row r="182" spans="1:14" x14ac:dyDescent="0.3">
      <c r="A182" s="32" t="s">
        <v>327</v>
      </c>
      <c r="B182" s="33">
        <v>45663</v>
      </c>
      <c r="C182" s="32" t="s">
        <v>129</v>
      </c>
      <c r="D182" s="32" t="s">
        <v>130</v>
      </c>
      <c r="E182" s="32" t="s">
        <v>52</v>
      </c>
      <c r="F182" s="32" t="s">
        <v>53</v>
      </c>
      <c r="G182" s="32" t="s">
        <v>19</v>
      </c>
      <c r="H182" s="32">
        <v>5</v>
      </c>
      <c r="I182" s="34">
        <v>149.99</v>
      </c>
      <c r="J182" s="32" t="s">
        <v>34</v>
      </c>
      <c r="K182" s="32" t="s">
        <v>63</v>
      </c>
      <c r="L182" s="32" t="s">
        <v>27</v>
      </c>
      <c r="M182" s="33">
        <v>44824</v>
      </c>
      <c r="N182" s="34">
        <v>749.95</v>
      </c>
    </row>
    <row r="183" spans="1:14" x14ac:dyDescent="0.3">
      <c r="A183" s="32" t="s">
        <v>328</v>
      </c>
      <c r="B183" s="33">
        <v>45663</v>
      </c>
      <c r="C183" s="32" t="s">
        <v>42</v>
      </c>
      <c r="D183" s="32" t="s">
        <v>43</v>
      </c>
      <c r="E183" s="32" t="s">
        <v>105</v>
      </c>
      <c r="F183" s="32" t="s">
        <v>106</v>
      </c>
      <c r="G183" s="32" t="s">
        <v>46</v>
      </c>
      <c r="H183" s="32">
        <v>3</v>
      </c>
      <c r="I183" s="34">
        <v>299.99</v>
      </c>
      <c r="J183" s="32" t="s">
        <v>20</v>
      </c>
      <c r="K183" s="32" t="s">
        <v>35</v>
      </c>
      <c r="L183" s="32" t="s">
        <v>36</v>
      </c>
      <c r="M183" s="33">
        <v>44422</v>
      </c>
      <c r="N183" s="34">
        <v>899.97</v>
      </c>
    </row>
    <row r="184" spans="1:14" x14ac:dyDescent="0.3">
      <c r="A184" s="32" t="s">
        <v>329</v>
      </c>
      <c r="B184" s="33">
        <v>45666</v>
      </c>
      <c r="C184" s="32" t="s">
        <v>65</v>
      </c>
      <c r="D184" s="32" t="s">
        <v>66</v>
      </c>
      <c r="E184" s="32" t="s">
        <v>80</v>
      </c>
      <c r="F184" s="32" t="s">
        <v>81</v>
      </c>
      <c r="G184" s="32" t="s">
        <v>19</v>
      </c>
      <c r="H184" s="32">
        <v>3</v>
      </c>
      <c r="I184" s="34">
        <v>699.99</v>
      </c>
      <c r="J184" s="32" t="s">
        <v>26</v>
      </c>
      <c r="K184" s="32" t="s">
        <v>21</v>
      </c>
      <c r="L184" s="32" t="s">
        <v>27</v>
      </c>
      <c r="M184" s="33">
        <v>45105</v>
      </c>
      <c r="N184" s="34">
        <v>2099.9699999999998</v>
      </c>
    </row>
    <row r="185" spans="1:14" x14ac:dyDescent="0.3">
      <c r="A185" s="32" t="s">
        <v>330</v>
      </c>
      <c r="B185" s="33">
        <v>45667</v>
      </c>
      <c r="C185" s="32" t="s">
        <v>108</v>
      </c>
      <c r="D185" s="32" t="s">
        <v>109</v>
      </c>
      <c r="E185" s="32" t="s">
        <v>126</v>
      </c>
      <c r="F185" s="32" t="s">
        <v>127</v>
      </c>
      <c r="G185" s="32" t="s">
        <v>46</v>
      </c>
      <c r="H185" s="32">
        <v>5</v>
      </c>
      <c r="I185" s="34">
        <v>199.99</v>
      </c>
      <c r="J185" s="32" t="s">
        <v>34</v>
      </c>
      <c r="K185" s="32" t="s">
        <v>21</v>
      </c>
      <c r="L185" s="32" t="s">
        <v>36</v>
      </c>
      <c r="M185" s="33">
        <v>44633</v>
      </c>
      <c r="N185" s="34">
        <v>999.95</v>
      </c>
    </row>
    <row r="186" spans="1:14" x14ac:dyDescent="0.3">
      <c r="A186" s="32" t="s">
        <v>331</v>
      </c>
      <c r="B186" s="33">
        <v>45667</v>
      </c>
      <c r="C186" s="32" t="s">
        <v>93</v>
      </c>
      <c r="D186" s="32" t="s">
        <v>94</v>
      </c>
      <c r="E186" s="32" t="s">
        <v>17</v>
      </c>
      <c r="F186" s="32" t="s">
        <v>18</v>
      </c>
      <c r="G186" s="32" t="s">
        <v>19</v>
      </c>
      <c r="H186" s="32">
        <v>5</v>
      </c>
      <c r="I186" s="34">
        <v>249.99</v>
      </c>
      <c r="J186" s="32" t="s">
        <v>26</v>
      </c>
      <c r="K186" s="32" t="s">
        <v>35</v>
      </c>
      <c r="L186" s="32" t="s">
        <v>22</v>
      </c>
      <c r="M186" s="33">
        <v>45330</v>
      </c>
      <c r="N186" s="34">
        <v>1249.95</v>
      </c>
    </row>
    <row r="187" spans="1:14" x14ac:dyDescent="0.3">
      <c r="A187" s="32" t="s">
        <v>332</v>
      </c>
      <c r="B187" s="33">
        <v>45668</v>
      </c>
      <c r="C187" s="32" t="s">
        <v>138</v>
      </c>
      <c r="D187" s="32" t="s">
        <v>139</v>
      </c>
      <c r="E187" s="32" t="s">
        <v>52</v>
      </c>
      <c r="F187" s="32" t="s">
        <v>53</v>
      </c>
      <c r="G187" s="32" t="s">
        <v>19</v>
      </c>
      <c r="H187" s="32">
        <v>4</v>
      </c>
      <c r="I187" s="34">
        <v>149.99</v>
      </c>
      <c r="J187" s="32" t="s">
        <v>57</v>
      </c>
      <c r="K187" s="32" t="s">
        <v>63</v>
      </c>
      <c r="L187" s="32" t="s">
        <v>36</v>
      </c>
      <c r="M187" s="33">
        <v>44536</v>
      </c>
      <c r="N187" s="34">
        <v>599.96</v>
      </c>
    </row>
    <row r="188" spans="1:14" x14ac:dyDescent="0.3">
      <c r="A188" s="32" t="s">
        <v>333</v>
      </c>
      <c r="B188" s="33">
        <v>45668</v>
      </c>
      <c r="C188" s="32" t="s">
        <v>78</v>
      </c>
      <c r="D188" s="32" t="s">
        <v>79</v>
      </c>
      <c r="E188" s="32" t="s">
        <v>80</v>
      </c>
      <c r="F188" s="32" t="s">
        <v>81</v>
      </c>
      <c r="G188" s="32" t="s">
        <v>19</v>
      </c>
      <c r="H188" s="32">
        <v>3</v>
      </c>
      <c r="I188" s="34">
        <v>699.99</v>
      </c>
      <c r="J188" s="32" t="s">
        <v>20</v>
      </c>
      <c r="K188" s="32" t="s">
        <v>40</v>
      </c>
      <c r="L188" s="32" t="s">
        <v>27</v>
      </c>
      <c r="M188" s="33">
        <v>44602</v>
      </c>
      <c r="N188" s="34">
        <v>2099.9699999999998</v>
      </c>
    </row>
    <row r="189" spans="1:14" x14ac:dyDescent="0.3">
      <c r="A189" s="32" t="s">
        <v>334</v>
      </c>
      <c r="B189" s="33">
        <v>45670</v>
      </c>
      <c r="C189" s="32" t="s">
        <v>293</v>
      </c>
      <c r="D189" s="32" t="s">
        <v>294</v>
      </c>
      <c r="E189" s="32" t="s">
        <v>114</v>
      </c>
      <c r="F189" s="32" t="s">
        <v>115</v>
      </c>
      <c r="G189" s="32" t="s">
        <v>33</v>
      </c>
      <c r="H189" s="32">
        <v>1</v>
      </c>
      <c r="I189" s="34">
        <v>79.989999999999995</v>
      </c>
      <c r="J189" s="32" t="s">
        <v>26</v>
      </c>
      <c r="K189" s="32" t="s">
        <v>35</v>
      </c>
      <c r="L189" s="32" t="s">
        <v>22</v>
      </c>
      <c r="M189" s="33">
        <v>45322</v>
      </c>
      <c r="N189" s="34">
        <v>79.989999999999995</v>
      </c>
    </row>
    <row r="190" spans="1:14" x14ac:dyDescent="0.3">
      <c r="A190" s="32" t="s">
        <v>335</v>
      </c>
      <c r="B190" s="33">
        <v>45670</v>
      </c>
      <c r="C190" s="32" t="s">
        <v>86</v>
      </c>
      <c r="D190" s="32" t="s">
        <v>87</v>
      </c>
      <c r="E190" s="32" t="s">
        <v>105</v>
      </c>
      <c r="F190" s="32" t="s">
        <v>106</v>
      </c>
      <c r="G190" s="32" t="s">
        <v>46</v>
      </c>
      <c r="H190" s="32">
        <v>1</v>
      </c>
      <c r="I190" s="34">
        <v>299.99</v>
      </c>
      <c r="J190" s="32" t="s">
        <v>26</v>
      </c>
      <c r="K190" s="32" t="s">
        <v>40</v>
      </c>
      <c r="L190" s="32" t="s">
        <v>22</v>
      </c>
      <c r="M190" s="33">
        <v>44436</v>
      </c>
      <c r="N190" s="34">
        <v>299.99</v>
      </c>
    </row>
    <row r="191" spans="1:14" x14ac:dyDescent="0.3">
      <c r="A191" s="32" t="s">
        <v>336</v>
      </c>
      <c r="B191" s="33">
        <v>45671</v>
      </c>
      <c r="C191" s="32" t="s">
        <v>158</v>
      </c>
      <c r="D191" s="32" t="s">
        <v>159</v>
      </c>
      <c r="E191" s="32" t="s">
        <v>17</v>
      </c>
      <c r="F191" s="32" t="s">
        <v>18</v>
      </c>
      <c r="G191" s="32" t="s">
        <v>19</v>
      </c>
      <c r="H191" s="32">
        <v>4</v>
      </c>
      <c r="I191" s="34">
        <v>249.99</v>
      </c>
      <c r="J191" s="32" t="s">
        <v>26</v>
      </c>
      <c r="K191" s="32" t="s">
        <v>40</v>
      </c>
      <c r="L191" s="32" t="s">
        <v>27</v>
      </c>
      <c r="M191" s="33">
        <v>44460</v>
      </c>
      <c r="N191" s="34">
        <v>999.96</v>
      </c>
    </row>
    <row r="192" spans="1:14" x14ac:dyDescent="0.3">
      <c r="A192" s="32" t="s">
        <v>337</v>
      </c>
      <c r="B192" s="33">
        <v>45671</v>
      </c>
      <c r="C192" s="32" t="s">
        <v>120</v>
      </c>
      <c r="D192" s="32" t="s">
        <v>121</v>
      </c>
      <c r="E192" s="32" t="s">
        <v>52</v>
      </c>
      <c r="F192" s="32" t="s">
        <v>53</v>
      </c>
      <c r="G192" s="32" t="s">
        <v>19</v>
      </c>
      <c r="H192" s="32">
        <v>2</v>
      </c>
      <c r="I192" s="34">
        <v>149.99</v>
      </c>
      <c r="J192" s="32" t="s">
        <v>20</v>
      </c>
      <c r="K192" s="32" t="s">
        <v>40</v>
      </c>
      <c r="L192" s="32" t="s">
        <v>36</v>
      </c>
      <c r="M192" s="33">
        <v>44913</v>
      </c>
      <c r="N192" s="34">
        <v>299.98</v>
      </c>
    </row>
    <row r="193" spans="1:14" x14ac:dyDescent="0.3">
      <c r="A193" s="32" t="s">
        <v>338</v>
      </c>
      <c r="B193" s="33">
        <v>45671</v>
      </c>
      <c r="C193" s="32" t="s">
        <v>234</v>
      </c>
      <c r="D193" s="32" t="s">
        <v>235</v>
      </c>
      <c r="E193" s="32" t="s">
        <v>105</v>
      </c>
      <c r="F193" s="32" t="s">
        <v>106</v>
      </c>
      <c r="G193" s="32" t="s">
        <v>46</v>
      </c>
      <c r="H193" s="32">
        <v>3</v>
      </c>
      <c r="I193" s="34">
        <v>299.99</v>
      </c>
      <c r="J193" s="32" t="s">
        <v>26</v>
      </c>
      <c r="K193" s="32" t="s">
        <v>35</v>
      </c>
      <c r="L193" s="32" t="s">
        <v>22</v>
      </c>
      <c r="M193" s="33">
        <v>45204</v>
      </c>
      <c r="N193" s="34">
        <v>899.97</v>
      </c>
    </row>
    <row r="194" spans="1:14" x14ac:dyDescent="0.3">
      <c r="A194" s="32" t="s">
        <v>339</v>
      </c>
      <c r="B194" s="33">
        <v>45673</v>
      </c>
      <c r="C194" s="32" t="s">
        <v>226</v>
      </c>
      <c r="D194" s="32" t="s">
        <v>227</v>
      </c>
      <c r="E194" s="32" t="s">
        <v>126</v>
      </c>
      <c r="F194" s="32" t="s">
        <v>127</v>
      </c>
      <c r="G194" s="32" t="s">
        <v>46</v>
      </c>
      <c r="H194" s="32">
        <v>4</v>
      </c>
      <c r="I194" s="34">
        <v>199.99</v>
      </c>
      <c r="J194" s="32" t="s">
        <v>57</v>
      </c>
      <c r="K194" s="32" t="s">
        <v>35</v>
      </c>
      <c r="L194" s="32" t="s">
        <v>36</v>
      </c>
      <c r="M194" s="33">
        <v>44544</v>
      </c>
      <c r="N194" s="34">
        <v>799.96</v>
      </c>
    </row>
    <row r="195" spans="1:14" x14ac:dyDescent="0.3">
      <c r="A195" s="32" t="s">
        <v>340</v>
      </c>
      <c r="B195" s="33">
        <v>45673</v>
      </c>
      <c r="C195" s="32" t="s">
        <v>211</v>
      </c>
      <c r="D195" s="32" t="s">
        <v>212</v>
      </c>
      <c r="E195" s="32" t="s">
        <v>105</v>
      </c>
      <c r="F195" s="32" t="s">
        <v>106</v>
      </c>
      <c r="G195" s="32" t="s">
        <v>46</v>
      </c>
      <c r="H195" s="32">
        <v>5</v>
      </c>
      <c r="I195" s="34">
        <v>299.99</v>
      </c>
      <c r="J195" s="32" t="s">
        <v>57</v>
      </c>
      <c r="K195" s="32" t="s">
        <v>21</v>
      </c>
      <c r="L195" s="32" t="s">
        <v>22</v>
      </c>
      <c r="M195" s="33">
        <v>44431</v>
      </c>
      <c r="N195" s="34">
        <v>1499.95</v>
      </c>
    </row>
    <row r="196" spans="1:14" x14ac:dyDescent="0.3">
      <c r="A196" s="32" t="s">
        <v>341</v>
      </c>
      <c r="B196" s="33">
        <v>45673</v>
      </c>
      <c r="C196" s="32" t="s">
        <v>59</v>
      </c>
      <c r="D196" s="32" t="s">
        <v>60</v>
      </c>
      <c r="E196" s="32" t="s">
        <v>44</v>
      </c>
      <c r="F196" s="32" t="s">
        <v>45</v>
      </c>
      <c r="G196" s="32" t="s">
        <v>46</v>
      </c>
      <c r="H196" s="32">
        <v>3</v>
      </c>
      <c r="I196" s="34">
        <v>149.99</v>
      </c>
      <c r="J196" s="32" t="s">
        <v>26</v>
      </c>
      <c r="K196" s="32" t="s">
        <v>63</v>
      </c>
      <c r="L196" s="32" t="s">
        <v>36</v>
      </c>
      <c r="M196" s="33">
        <v>44395</v>
      </c>
      <c r="N196" s="34">
        <v>449.97</v>
      </c>
    </row>
    <row r="197" spans="1:14" x14ac:dyDescent="0.3">
      <c r="A197" s="32" t="s">
        <v>342</v>
      </c>
      <c r="B197" s="33">
        <v>45676</v>
      </c>
      <c r="C197" s="32" t="s">
        <v>129</v>
      </c>
      <c r="D197" s="32" t="s">
        <v>130</v>
      </c>
      <c r="E197" s="32" t="s">
        <v>31</v>
      </c>
      <c r="F197" s="32" t="s">
        <v>32</v>
      </c>
      <c r="G197" s="32" t="s">
        <v>33</v>
      </c>
      <c r="H197" s="32">
        <v>5</v>
      </c>
      <c r="I197" s="34">
        <v>59.99</v>
      </c>
      <c r="J197" s="32" t="s">
        <v>57</v>
      </c>
      <c r="K197" s="32" t="s">
        <v>63</v>
      </c>
      <c r="L197" s="32" t="s">
        <v>22</v>
      </c>
      <c r="M197" s="33">
        <v>44642</v>
      </c>
      <c r="N197" s="34">
        <v>299.95</v>
      </c>
    </row>
    <row r="198" spans="1:14" x14ac:dyDescent="0.3">
      <c r="A198" s="32" t="s">
        <v>343</v>
      </c>
      <c r="B198" s="33">
        <v>45682</v>
      </c>
      <c r="C198" s="32" t="s">
        <v>68</v>
      </c>
      <c r="D198" s="32" t="s">
        <v>69</v>
      </c>
      <c r="E198" s="32" t="s">
        <v>31</v>
      </c>
      <c r="F198" s="32" t="s">
        <v>32</v>
      </c>
      <c r="G198" s="32" t="s">
        <v>33</v>
      </c>
      <c r="H198" s="32">
        <v>4</v>
      </c>
      <c r="I198" s="34">
        <v>59.99</v>
      </c>
      <c r="J198" s="32" t="s">
        <v>57</v>
      </c>
      <c r="K198" s="32" t="s">
        <v>63</v>
      </c>
      <c r="L198" s="32" t="s">
        <v>36</v>
      </c>
      <c r="M198" s="33">
        <v>44564</v>
      </c>
      <c r="N198" s="34">
        <v>239.96</v>
      </c>
    </row>
    <row r="199" spans="1:14" x14ac:dyDescent="0.3">
      <c r="A199" s="32" t="s">
        <v>344</v>
      </c>
      <c r="B199" s="33">
        <v>45683</v>
      </c>
      <c r="C199" s="32" t="s">
        <v>48</v>
      </c>
      <c r="D199" s="32" t="s">
        <v>49</v>
      </c>
      <c r="E199" s="32" t="s">
        <v>17</v>
      </c>
      <c r="F199" s="32" t="s">
        <v>18</v>
      </c>
      <c r="G199" s="32" t="s">
        <v>19</v>
      </c>
      <c r="H199" s="32">
        <v>4</v>
      </c>
      <c r="I199" s="34">
        <v>249.99</v>
      </c>
      <c r="J199" s="32" t="s">
        <v>57</v>
      </c>
      <c r="K199" s="32" t="s">
        <v>21</v>
      </c>
      <c r="L199" s="32" t="s">
        <v>27</v>
      </c>
      <c r="M199" s="33">
        <v>45217</v>
      </c>
      <c r="N199" s="34">
        <v>999.96</v>
      </c>
    </row>
    <row r="200" spans="1:14" x14ac:dyDescent="0.3">
      <c r="A200" s="32" t="s">
        <v>345</v>
      </c>
      <c r="B200" s="33">
        <v>45686</v>
      </c>
      <c r="C200" s="32" t="s">
        <v>252</v>
      </c>
      <c r="D200" s="32" t="s">
        <v>253</v>
      </c>
      <c r="E200" s="32" t="s">
        <v>61</v>
      </c>
      <c r="F200" s="32" t="s">
        <v>62</v>
      </c>
      <c r="G200" s="32" t="s">
        <v>19</v>
      </c>
      <c r="H200" s="32">
        <v>4</v>
      </c>
      <c r="I200" s="34">
        <v>899.99</v>
      </c>
      <c r="J200" s="32" t="s">
        <v>34</v>
      </c>
      <c r="K200" s="32" t="s">
        <v>21</v>
      </c>
      <c r="L200" s="32" t="s">
        <v>22</v>
      </c>
      <c r="M200" s="33">
        <v>44734</v>
      </c>
      <c r="N200" s="34">
        <v>3599.96</v>
      </c>
    </row>
    <row r="201" spans="1:14" x14ac:dyDescent="0.3">
      <c r="A201" s="32" t="s">
        <v>346</v>
      </c>
      <c r="B201" s="33">
        <v>45686</v>
      </c>
      <c r="C201" s="32" t="s">
        <v>86</v>
      </c>
      <c r="D201" s="32" t="s">
        <v>87</v>
      </c>
      <c r="E201" s="32" t="s">
        <v>105</v>
      </c>
      <c r="F201" s="32" t="s">
        <v>106</v>
      </c>
      <c r="G201" s="32" t="s">
        <v>46</v>
      </c>
      <c r="H201" s="32">
        <v>3</v>
      </c>
      <c r="I201" s="34">
        <v>299.99</v>
      </c>
      <c r="J201" s="32" t="s">
        <v>57</v>
      </c>
      <c r="K201" s="32" t="s">
        <v>50</v>
      </c>
      <c r="L201" s="32" t="s">
        <v>36</v>
      </c>
      <c r="M201" s="33">
        <v>44952</v>
      </c>
      <c r="N201" s="34">
        <v>899.97</v>
      </c>
    </row>
    <row r="202" spans="1:14" x14ac:dyDescent="0.3">
      <c r="A202" s="32" t="s">
        <v>347</v>
      </c>
      <c r="B202" s="33">
        <v>45686</v>
      </c>
      <c r="C202" s="32" t="s">
        <v>293</v>
      </c>
      <c r="D202" s="32" t="s">
        <v>294</v>
      </c>
      <c r="E202" s="32" t="s">
        <v>80</v>
      </c>
      <c r="F202" s="32" t="s">
        <v>81</v>
      </c>
      <c r="G202" s="32" t="s">
        <v>19</v>
      </c>
      <c r="H202" s="32">
        <v>2</v>
      </c>
      <c r="I202" s="34">
        <v>699.99</v>
      </c>
      <c r="J202" s="32" t="s">
        <v>57</v>
      </c>
      <c r="K202" s="32" t="s">
        <v>21</v>
      </c>
      <c r="L202" s="32" t="s">
        <v>27</v>
      </c>
      <c r="M202" s="33">
        <v>44681</v>
      </c>
      <c r="N202" s="34">
        <v>1399.98</v>
      </c>
    </row>
    <row r="203" spans="1:14" x14ac:dyDescent="0.3">
      <c r="A203" s="32" t="s">
        <v>348</v>
      </c>
      <c r="B203" s="33">
        <v>45688</v>
      </c>
      <c r="C203" s="32" t="s">
        <v>65</v>
      </c>
      <c r="D203" s="32" t="s">
        <v>66</v>
      </c>
      <c r="E203" s="32" t="s">
        <v>80</v>
      </c>
      <c r="F203" s="32" t="s">
        <v>81</v>
      </c>
      <c r="G203" s="32" t="s">
        <v>19</v>
      </c>
      <c r="H203" s="32">
        <v>4</v>
      </c>
      <c r="I203" s="34">
        <v>699.99</v>
      </c>
      <c r="J203" s="32" t="s">
        <v>57</v>
      </c>
      <c r="K203" s="32" t="s">
        <v>50</v>
      </c>
      <c r="L203" s="32" t="s">
        <v>27</v>
      </c>
      <c r="M203" s="33">
        <v>44692</v>
      </c>
      <c r="N203" s="34">
        <v>2799.96</v>
      </c>
    </row>
    <row r="204" spans="1:14" x14ac:dyDescent="0.3">
      <c r="A204" s="32" t="s">
        <v>349</v>
      </c>
      <c r="B204" s="33">
        <v>45688</v>
      </c>
      <c r="C204" s="32" t="s">
        <v>123</v>
      </c>
      <c r="D204" s="32" t="s">
        <v>124</v>
      </c>
      <c r="E204" s="32" t="s">
        <v>117</v>
      </c>
      <c r="F204" s="32" t="s">
        <v>118</v>
      </c>
      <c r="G204" s="32" t="s">
        <v>19</v>
      </c>
      <c r="H204" s="32">
        <v>2</v>
      </c>
      <c r="I204" s="34">
        <v>89.99</v>
      </c>
      <c r="J204" s="32" t="s">
        <v>57</v>
      </c>
      <c r="K204" s="32" t="s">
        <v>35</v>
      </c>
      <c r="L204" s="32" t="s">
        <v>22</v>
      </c>
      <c r="M204" s="33">
        <v>44777</v>
      </c>
      <c r="N204" s="34">
        <v>179.98</v>
      </c>
    </row>
    <row r="205" spans="1:14" x14ac:dyDescent="0.3">
      <c r="A205" s="32" t="s">
        <v>350</v>
      </c>
      <c r="B205" s="33">
        <v>45688</v>
      </c>
      <c r="C205" s="32" t="s">
        <v>42</v>
      </c>
      <c r="D205" s="32" t="s">
        <v>43</v>
      </c>
      <c r="E205" s="32" t="s">
        <v>117</v>
      </c>
      <c r="F205" s="32" t="s">
        <v>118</v>
      </c>
      <c r="G205" s="32" t="s">
        <v>19</v>
      </c>
      <c r="H205" s="32">
        <v>3</v>
      </c>
      <c r="I205" s="34">
        <v>89.99</v>
      </c>
      <c r="J205" s="32" t="s">
        <v>57</v>
      </c>
      <c r="K205" s="32" t="s">
        <v>35</v>
      </c>
      <c r="L205" s="32" t="s">
        <v>27</v>
      </c>
      <c r="M205" s="33">
        <v>45307</v>
      </c>
      <c r="N205" s="34">
        <v>269.97000000000003</v>
      </c>
    </row>
    <row r="206" spans="1:14" x14ac:dyDescent="0.3">
      <c r="A206" s="32" t="s">
        <v>351</v>
      </c>
      <c r="B206" s="33">
        <v>45692</v>
      </c>
      <c r="C206" s="32" t="s">
        <v>325</v>
      </c>
      <c r="D206" s="32" t="s">
        <v>326</v>
      </c>
      <c r="E206" s="32" t="s">
        <v>31</v>
      </c>
      <c r="F206" s="32" t="s">
        <v>32</v>
      </c>
      <c r="G206" s="32" t="s">
        <v>33</v>
      </c>
      <c r="H206" s="32">
        <v>1</v>
      </c>
      <c r="I206" s="34">
        <v>59.99</v>
      </c>
      <c r="J206" s="32" t="s">
        <v>57</v>
      </c>
      <c r="K206" s="32" t="s">
        <v>21</v>
      </c>
      <c r="L206" s="32" t="s">
        <v>36</v>
      </c>
      <c r="M206" s="33">
        <v>45045</v>
      </c>
      <c r="N206" s="34">
        <v>59.99</v>
      </c>
    </row>
    <row r="207" spans="1:14" x14ac:dyDescent="0.3">
      <c r="A207" s="32" t="s">
        <v>352</v>
      </c>
      <c r="B207" s="33">
        <v>45695</v>
      </c>
      <c r="C207" s="32" t="s">
        <v>246</v>
      </c>
      <c r="D207" s="32" t="s">
        <v>247</v>
      </c>
      <c r="E207" s="32" t="s">
        <v>44</v>
      </c>
      <c r="F207" s="32" t="s">
        <v>45</v>
      </c>
      <c r="G207" s="32" t="s">
        <v>46</v>
      </c>
      <c r="H207" s="32">
        <v>3</v>
      </c>
      <c r="I207" s="34">
        <v>149.99</v>
      </c>
      <c r="J207" s="32" t="s">
        <v>57</v>
      </c>
      <c r="K207" s="32" t="s">
        <v>40</v>
      </c>
      <c r="L207" s="32" t="s">
        <v>27</v>
      </c>
      <c r="M207" s="33">
        <v>44564</v>
      </c>
      <c r="N207" s="34">
        <v>449.97</v>
      </c>
    </row>
    <row r="208" spans="1:14" x14ac:dyDescent="0.3">
      <c r="A208" s="32" t="s">
        <v>353</v>
      </c>
      <c r="B208" s="33">
        <v>45695</v>
      </c>
      <c r="C208" s="32" t="s">
        <v>93</v>
      </c>
      <c r="D208" s="32" t="s">
        <v>94</v>
      </c>
      <c r="E208" s="32" t="s">
        <v>105</v>
      </c>
      <c r="F208" s="32" t="s">
        <v>106</v>
      </c>
      <c r="G208" s="32" t="s">
        <v>46</v>
      </c>
      <c r="H208" s="32">
        <v>5</v>
      </c>
      <c r="I208" s="34">
        <v>299.99</v>
      </c>
      <c r="J208" s="32" t="s">
        <v>26</v>
      </c>
      <c r="K208" s="32" t="s">
        <v>35</v>
      </c>
      <c r="L208" s="32" t="s">
        <v>22</v>
      </c>
      <c r="M208" s="33">
        <v>44959</v>
      </c>
      <c r="N208" s="34">
        <v>1499.95</v>
      </c>
    </row>
    <row r="209" spans="1:14" x14ac:dyDescent="0.3">
      <c r="A209" s="32" t="s">
        <v>354</v>
      </c>
      <c r="B209" s="33">
        <v>45696</v>
      </c>
      <c r="C209" s="32" t="s">
        <v>150</v>
      </c>
      <c r="D209" s="32" t="s">
        <v>151</v>
      </c>
      <c r="E209" s="32" t="s">
        <v>31</v>
      </c>
      <c r="F209" s="32" t="s">
        <v>32</v>
      </c>
      <c r="G209" s="32" t="s">
        <v>33</v>
      </c>
      <c r="H209" s="32">
        <v>5</v>
      </c>
      <c r="I209" s="34">
        <v>59.99</v>
      </c>
      <c r="J209" s="32" t="s">
        <v>57</v>
      </c>
      <c r="K209" s="32" t="s">
        <v>21</v>
      </c>
      <c r="L209" s="32" t="s">
        <v>36</v>
      </c>
      <c r="M209" s="33">
        <v>45177</v>
      </c>
      <c r="N209" s="34">
        <v>299.95</v>
      </c>
    </row>
    <row r="210" spans="1:14" x14ac:dyDescent="0.3">
      <c r="A210" s="32" t="s">
        <v>355</v>
      </c>
      <c r="B210" s="33">
        <v>45701</v>
      </c>
      <c r="C210" s="32" t="s">
        <v>108</v>
      </c>
      <c r="D210" s="32" t="s">
        <v>109</v>
      </c>
      <c r="E210" s="32" t="s">
        <v>114</v>
      </c>
      <c r="F210" s="32" t="s">
        <v>115</v>
      </c>
      <c r="G210" s="32" t="s">
        <v>33</v>
      </c>
      <c r="H210" s="32">
        <v>3</v>
      </c>
      <c r="I210" s="34">
        <v>79.989999999999995</v>
      </c>
      <c r="J210" s="32" t="s">
        <v>20</v>
      </c>
      <c r="K210" s="32" t="s">
        <v>63</v>
      </c>
      <c r="L210" s="32" t="s">
        <v>27</v>
      </c>
      <c r="M210" s="33">
        <v>44436</v>
      </c>
      <c r="N210" s="34">
        <v>239.97</v>
      </c>
    </row>
    <row r="211" spans="1:14" x14ac:dyDescent="0.3">
      <c r="A211" s="32" t="s">
        <v>356</v>
      </c>
      <c r="B211" s="33">
        <v>45704</v>
      </c>
      <c r="C211" s="32" t="s">
        <v>29</v>
      </c>
      <c r="D211" s="32" t="s">
        <v>30</v>
      </c>
      <c r="E211" s="32" t="s">
        <v>126</v>
      </c>
      <c r="F211" s="32" t="s">
        <v>127</v>
      </c>
      <c r="G211" s="32" t="s">
        <v>46</v>
      </c>
      <c r="H211" s="32">
        <v>3</v>
      </c>
      <c r="I211" s="34">
        <v>199.99</v>
      </c>
      <c r="J211" s="32" t="s">
        <v>20</v>
      </c>
      <c r="K211" s="32" t="s">
        <v>21</v>
      </c>
      <c r="L211" s="32" t="s">
        <v>22</v>
      </c>
      <c r="M211" s="33">
        <v>44735</v>
      </c>
      <c r="N211" s="34">
        <v>599.97</v>
      </c>
    </row>
    <row r="212" spans="1:14" x14ac:dyDescent="0.3">
      <c r="A212" s="32" t="s">
        <v>357</v>
      </c>
      <c r="B212" s="33">
        <v>45704</v>
      </c>
      <c r="C212" s="32" t="s">
        <v>15</v>
      </c>
      <c r="D212" s="32" t="s">
        <v>16</v>
      </c>
      <c r="E212" s="32" t="s">
        <v>117</v>
      </c>
      <c r="F212" s="32" t="s">
        <v>118</v>
      </c>
      <c r="G212" s="32" t="s">
        <v>19</v>
      </c>
      <c r="H212" s="32">
        <v>2</v>
      </c>
      <c r="I212" s="34">
        <v>89.99</v>
      </c>
      <c r="J212" s="32" t="s">
        <v>34</v>
      </c>
      <c r="K212" s="32" t="s">
        <v>21</v>
      </c>
      <c r="L212" s="32" t="s">
        <v>22</v>
      </c>
      <c r="M212" s="33">
        <v>45257</v>
      </c>
      <c r="N212" s="34">
        <v>179.98</v>
      </c>
    </row>
    <row r="213" spans="1:14" x14ac:dyDescent="0.3">
      <c r="A213" s="32" t="s">
        <v>358</v>
      </c>
      <c r="B213" s="33">
        <v>45705</v>
      </c>
      <c r="C213" s="32" t="s">
        <v>259</v>
      </c>
      <c r="D213" s="32" t="s">
        <v>260</v>
      </c>
      <c r="E213" s="32" t="s">
        <v>44</v>
      </c>
      <c r="F213" s="32" t="s">
        <v>45</v>
      </c>
      <c r="G213" s="32" t="s">
        <v>46</v>
      </c>
      <c r="H213" s="32">
        <v>2</v>
      </c>
      <c r="I213" s="34">
        <v>149.99</v>
      </c>
      <c r="J213" s="32" t="s">
        <v>20</v>
      </c>
      <c r="K213" s="32" t="s">
        <v>35</v>
      </c>
      <c r="L213" s="32" t="s">
        <v>27</v>
      </c>
      <c r="M213" s="33">
        <v>44728</v>
      </c>
      <c r="N213" s="34">
        <v>299.98</v>
      </c>
    </row>
    <row r="214" spans="1:14" x14ac:dyDescent="0.3">
      <c r="A214" s="32" t="s">
        <v>359</v>
      </c>
      <c r="B214" s="33">
        <v>45707</v>
      </c>
      <c r="C214" s="32" t="s">
        <v>123</v>
      </c>
      <c r="D214" s="32" t="s">
        <v>124</v>
      </c>
      <c r="E214" s="32" t="s">
        <v>80</v>
      </c>
      <c r="F214" s="32" t="s">
        <v>81</v>
      </c>
      <c r="G214" s="32" t="s">
        <v>19</v>
      </c>
      <c r="H214" s="32">
        <v>5</v>
      </c>
      <c r="I214" s="34">
        <v>699.99</v>
      </c>
      <c r="J214" s="32" t="s">
        <v>34</v>
      </c>
      <c r="K214" s="32" t="s">
        <v>35</v>
      </c>
      <c r="L214" s="32" t="s">
        <v>27</v>
      </c>
      <c r="M214" s="33">
        <v>45352</v>
      </c>
      <c r="N214" s="34">
        <v>3499.95</v>
      </c>
    </row>
    <row r="215" spans="1:14" x14ac:dyDescent="0.3">
      <c r="A215" s="32" t="s">
        <v>360</v>
      </c>
      <c r="B215" s="33">
        <v>45707</v>
      </c>
      <c r="C215" s="32" t="s">
        <v>42</v>
      </c>
      <c r="D215" s="32" t="s">
        <v>43</v>
      </c>
      <c r="E215" s="32" t="s">
        <v>44</v>
      </c>
      <c r="F215" s="32" t="s">
        <v>45</v>
      </c>
      <c r="G215" s="32" t="s">
        <v>46</v>
      </c>
      <c r="H215" s="32">
        <v>3</v>
      </c>
      <c r="I215" s="34">
        <v>149.99</v>
      </c>
      <c r="J215" s="32" t="s">
        <v>34</v>
      </c>
      <c r="K215" s="32" t="s">
        <v>21</v>
      </c>
      <c r="L215" s="32" t="s">
        <v>36</v>
      </c>
      <c r="M215" s="33">
        <v>44633</v>
      </c>
      <c r="N215" s="34">
        <v>449.97</v>
      </c>
    </row>
    <row r="216" spans="1:14" x14ac:dyDescent="0.3">
      <c r="A216" s="32" t="s">
        <v>361</v>
      </c>
      <c r="B216" s="33">
        <v>45708</v>
      </c>
      <c r="C216" s="32" t="s">
        <v>96</v>
      </c>
      <c r="D216" s="32" t="s">
        <v>97</v>
      </c>
      <c r="E216" s="32" t="s">
        <v>61</v>
      </c>
      <c r="F216" s="32" t="s">
        <v>62</v>
      </c>
      <c r="G216" s="32" t="s">
        <v>19</v>
      </c>
      <c r="H216" s="32">
        <v>3</v>
      </c>
      <c r="I216" s="34">
        <v>899.99</v>
      </c>
      <c r="J216" s="32" t="s">
        <v>20</v>
      </c>
      <c r="K216" s="32" t="s">
        <v>63</v>
      </c>
      <c r="L216" s="32" t="s">
        <v>36</v>
      </c>
      <c r="M216" s="33">
        <v>44613</v>
      </c>
      <c r="N216" s="34">
        <v>2699.97</v>
      </c>
    </row>
    <row r="217" spans="1:14" x14ac:dyDescent="0.3">
      <c r="A217" s="32" t="s">
        <v>362</v>
      </c>
      <c r="B217" s="33">
        <v>45708</v>
      </c>
      <c r="C217" s="32" t="s">
        <v>192</v>
      </c>
      <c r="D217" s="32" t="s">
        <v>193</v>
      </c>
      <c r="E217" s="32" t="s">
        <v>126</v>
      </c>
      <c r="F217" s="32" t="s">
        <v>127</v>
      </c>
      <c r="G217" s="32" t="s">
        <v>46</v>
      </c>
      <c r="H217" s="32">
        <v>3</v>
      </c>
      <c r="I217" s="34">
        <v>199.99</v>
      </c>
      <c r="J217" s="32" t="s">
        <v>20</v>
      </c>
      <c r="K217" s="32" t="s">
        <v>50</v>
      </c>
      <c r="L217" s="32" t="s">
        <v>27</v>
      </c>
      <c r="M217" s="33">
        <v>44823</v>
      </c>
      <c r="N217" s="34">
        <v>599.97</v>
      </c>
    </row>
    <row r="218" spans="1:14" x14ac:dyDescent="0.3">
      <c r="A218" s="32" t="s">
        <v>363</v>
      </c>
      <c r="B218" s="33">
        <v>45710</v>
      </c>
      <c r="C218" s="32" t="s">
        <v>55</v>
      </c>
      <c r="D218" s="32" t="s">
        <v>56</v>
      </c>
      <c r="E218" s="32" t="s">
        <v>105</v>
      </c>
      <c r="F218" s="32" t="s">
        <v>106</v>
      </c>
      <c r="G218" s="32" t="s">
        <v>46</v>
      </c>
      <c r="H218" s="32">
        <v>5</v>
      </c>
      <c r="I218" s="34">
        <v>299.99</v>
      </c>
      <c r="J218" s="32" t="s">
        <v>20</v>
      </c>
      <c r="K218" s="32" t="s">
        <v>50</v>
      </c>
      <c r="L218" s="32" t="s">
        <v>36</v>
      </c>
      <c r="M218" s="33">
        <v>45142</v>
      </c>
      <c r="N218" s="34">
        <v>1499.95</v>
      </c>
    </row>
    <row r="219" spans="1:14" x14ac:dyDescent="0.3">
      <c r="A219" s="32" t="s">
        <v>364</v>
      </c>
      <c r="B219" s="33">
        <v>45710</v>
      </c>
      <c r="C219" s="32" t="s">
        <v>150</v>
      </c>
      <c r="D219" s="32" t="s">
        <v>151</v>
      </c>
      <c r="E219" s="32" t="s">
        <v>80</v>
      </c>
      <c r="F219" s="32" t="s">
        <v>81</v>
      </c>
      <c r="G219" s="32" t="s">
        <v>19</v>
      </c>
      <c r="H219" s="32">
        <v>1</v>
      </c>
      <c r="I219" s="34">
        <v>699.99</v>
      </c>
      <c r="J219" s="32" t="s">
        <v>34</v>
      </c>
      <c r="K219" s="32" t="s">
        <v>50</v>
      </c>
      <c r="L219" s="32" t="s">
        <v>22</v>
      </c>
      <c r="M219" s="33">
        <v>44934</v>
      </c>
      <c r="N219" s="34">
        <v>699.99</v>
      </c>
    </row>
    <row r="220" spans="1:14" x14ac:dyDescent="0.3">
      <c r="A220" s="32" t="s">
        <v>365</v>
      </c>
      <c r="B220" s="33">
        <v>45711</v>
      </c>
      <c r="C220" s="32" t="s">
        <v>246</v>
      </c>
      <c r="D220" s="32" t="s">
        <v>247</v>
      </c>
      <c r="E220" s="32" t="s">
        <v>80</v>
      </c>
      <c r="F220" s="32" t="s">
        <v>81</v>
      </c>
      <c r="G220" s="32" t="s">
        <v>19</v>
      </c>
      <c r="H220" s="32">
        <v>1</v>
      </c>
      <c r="I220" s="34">
        <v>699.99</v>
      </c>
      <c r="J220" s="32" t="s">
        <v>20</v>
      </c>
      <c r="K220" s="32" t="s">
        <v>40</v>
      </c>
      <c r="L220" s="32" t="s">
        <v>27</v>
      </c>
      <c r="M220" s="33">
        <v>44583</v>
      </c>
      <c r="N220" s="34">
        <v>699.99</v>
      </c>
    </row>
    <row r="221" spans="1:14" x14ac:dyDescent="0.3">
      <c r="A221" s="32" t="s">
        <v>366</v>
      </c>
      <c r="B221" s="33">
        <v>45711</v>
      </c>
      <c r="C221" s="32" t="s">
        <v>325</v>
      </c>
      <c r="D221" s="32" t="s">
        <v>326</v>
      </c>
      <c r="E221" s="32" t="s">
        <v>44</v>
      </c>
      <c r="F221" s="32" t="s">
        <v>45</v>
      </c>
      <c r="G221" s="32" t="s">
        <v>46</v>
      </c>
      <c r="H221" s="32">
        <v>4</v>
      </c>
      <c r="I221" s="34">
        <v>149.99</v>
      </c>
      <c r="J221" s="32" t="s">
        <v>34</v>
      </c>
      <c r="K221" s="32" t="s">
        <v>40</v>
      </c>
      <c r="L221" s="32" t="s">
        <v>27</v>
      </c>
      <c r="M221" s="33">
        <v>44412</v>
      </c>
      <c r="N221" s="34">
        <v>599.96</v>
      </c>
    </row>
    <row r="222" spans="1:14" x14ac:dyDescent="0.3">
      <c r="A222" s="32" t="s">
        <v>367</v>
      </c>
      <c r="B222" s="33">
        <v>45711</v>
      </c>
      <c r="C222" s="32" t="s">
        <v>211</v>
      </c>
      <c r="D222" s="32" t="s">
        <v>212</v>
      </c>
      <c r="E222" s="32" t="s">
        <v>117</v>
      </c>
      <c r="F222" s="32" t="s">
        <v>118</v>
      </c>
      <c r="G222" s="32" t="s">
        <v>19</v>
      </c>
      <c r="H222" s="32">
        <v>5</v>
      </c>
      <c r="I222" s="34">
        <v>89.99</v>
      </c>
      <c r="J222" s="32" t="s">
        <v>34</v>
      </c>
      <c r="K222" s="32" t="s">
        <v>50</v>
      </c>
      <c r="L222" s="32" t="s">
        <v>27</v>
      </c>
      <c r="M222" s="33">
        <v>45140</v>
      </c>
      <c r="N222" s="34">
        <v>449.95</v>
      </c>
    </row>
    <row r="223" spans="1:14" x14ac:dyDescent="0.3">
      <c r="A223" s="32" t="s">
        <v>368</v>
      </c>
      <c r="B223" s="33">
        <v>45712</v>
      </c>
      <c r="C223" s="32" t="s">
        <v>138</v>
      </c>
      <c r="D223" s="32" t="s">
        <v>139</v>
      </c>
      <c r="E223" s="32" t="s">
        <v>126</v>
      </c>
      <c r="F223" s="32" t="s">
        <v>127</v>
      </c>
      <c r="G223" s="32" t="s">
        <v>46</v>
      </c>
      <c r="H223" s="32">
        <v>2</v>
      </c>
      <c r="I223" s="34">
        <v>199.99</v>
      </c>
      <c r="J223" s="32" t="s">
        <v>20</v>
      </c>
      <c r="K223" s="32" t="s">
        <v>21</v>
      </c>
      <c r="L223" s="32" t="s">
        <v>27</v>
      </c>
      <c r="M223" s="33">
        <v>44573</v>
      </c>
      <c r="N223" s="34">
        <v>399.98</v>
      </c>
    </row>
    <row r="224" spans="1:14" x14ac:dyDescent="0.3">
      <c r="A224" s="32" t="s">
        <v>369</v>
      </c>
      <c r="B224" s="33">
        <v>45715</v>
      </c>
      <c r="C224" s="32" t="s">
        <v>259</v>
      </c>
      <c r="D224" s="32" t="s">
        <v>260</v>
      </c>
      <c r="E224" s="32" t="s">
        <v>31</v>
      </c>
      <c r="F224" s="32" t="s">
        <v>32</v>
      </c>
      <c r="G224" s="32" t="s">
        <v>33</v>
      </c>
      <c r="H224" s="32">
        <v>4</v>
      </c>
      <c r="I224" s="34">
        <v>59.99</v>
      </c>
      <c r="J224" s="32" t="s">
        <v>20</v>
      </c>
      <c r="K224" s="32" t="s">
        <v>50</v>
      </c>
      <c r="L224" s="32" t="s">
        <v>36</v>
      </c>
      <c r="M224" s="33">
        <v>45070</v>
      </c>
      <c r="N224" s="34">
        <v>239.96</v>
      </c>
    </row>
    <row r="225" spans="1:14" x14ac:dyDescent="0.3">
      <c r="A225" s="32" t="s">
        <v>370</v>
      </c>
      <c r="B225" s="33">
        <v>45715</v>
      </c>
      <c r="C225" s="32" t="s">
        <v>93</v>
      </c>
      <c r="D225" s="32" t="s">
        <v>94</v>
      </c>
      <c r="E225" s="32" t="s">
        <v>105</v>
      </c>
      <c r="F225" s="32" t="s">
        <v>106</v>
      </c>
      <c r="G225" s="32" t="s">
        <v>46</v>
      </c>
      <c r="H225" s="32">
        <v>2</v>
      </c>
      <c r="I225" s="34">
        <v>299.99</v>
      </c>
      <c r="J225" s="32" t="s">
        <v>34</v>
      </c>
      <c r="K225" s="32" t="s">
        <v>35</v>
      </c>
      <c r="L225" s="32" t="s">
        <v>22</v>
      </c>
      <c r="M225" s="33">
        <v>44576</v>
      </c>
      <c r="N225" s="34">
        <v>599.98</v>
      </c>
    </row>
    <row r="226" spans="1:14" x14ac:dyDescent="0.3">
      <c r="A226" s="32" t="s">
        <v>371</v>
      </c>
      <c r="B226" s="33">
        <v>45718</v>
      </c>
      <c r="C226" s="32" t="s">
        <v>55</v>
      </c>
      <c r="D226" s="32" t="s">
        <v>56</v>
      </c>
      <c r="E226" s="32" t="s">
        <v>44</v>
      </c>
      <c r="F226" s="32" t="s">
        <v>45</v>
      </c>
      <c r="G226" s="32" t="s">
        <v>46</v>
      </c>
      <c r="H226" s="32">
        <v>2</v>
      </c>
      <c r="I226" s="34">
        <v>149.99</v>
      </c>
      <c r="J226" s="32" t="s">
        <v>20</v>
      </c>
      <c r="K226" s="32" t="s">
        <v>21</v>
      </c>
      <c r="L226" s="32" t="s">
        <v>22</v>
      </c>
      <c r="M226" s="33">
        <v>45068</v>
      </c>
      <c r="N226" s="34">
        <v>299.98</v>
      </c>
    </row>
    <row r="227" spans="1:14" x14ac:dyDescent="0.3">
      <c r="A227" s="32" t="s">
        <v>372</v>
      </c>
      <c r="B227" s="33">
        <v>45720</v>
      </c>
      <c r="C227" s="32" t="s">
        <v>226</v>
      </c>
      <c r="D227" s="32" t="s">
        <v>227</v>
      </c>
      <c r="E227" s="32" t="s">
        <v>80</v>
      </c>
      <c r="F227" s="32" t="s">
        <v>81</v>
      </c>
      <c r="G227" s="32" t="s">
        <v>19</v>
      </c>
      <c r="H227" s="32">
        <v>5</v>
      </c>
      <c r="I227" s="34">
        <v>699.99</v>
      </c>
      <c r="J227" s="32" t="s">
        <v>57</v>
      </c>
      <c r="K227" s="32" t="s">
        <v>63</v>
      </c>
      <c r="L227" s="32" t="s">
        <v>27</v>
      </c>
      <c r="M227" s="33">
        <v>45161</v>
      </c>
      <c r="N227" s="34">
        <v>3499.95</v>
      </c>
    </row>
    <row r="228" spans="1:14" x14ac:dyDescent="0.3">
      <c r="A228" s="32" t="s">
        <v>373</v>
      </c>
      <c r="B228" s="33">
        <v>45721</v>
      </c>
      <c r="C228" s="32" t="s">
        <v>75</v>
      </c>
      <c r="D228" s="32" t="s">
        <v>76</v>
      </c>
      <c r="E228" s="32" t="s">
        <v>31</v>
      </c>
      <c r="F228" s="32" t="s">
        <v>32</v>
      </c>
      <c r="G228" s="32" t="s">
        <v>33</v>
      </c>
      <c r="H228" s="32">
        <v>5</v>
      </c>
      <c r="I228" s="34">
        <v>59.99</v>
      </c>
      <c r="J228" s="32" t="s">
        <v>20</v>
      </c>
      <c r="K228" s="32" t="s">
        <v>50</v>
      </c>
      <c r="L228" s="32" t="s">
        <v>27</v>
      </c>
      <c r="M228" s="33">
        <v>45291</v>
      </c>
      <c r="N228" s="34">
        <v>299.95</v>
      </c>
    </row>
    <row r="229" spans="1:14" x14ac:dyDescent="0.3">
      <c r="A229" s="32" t="s">
        <v>374</v>
      </c>
      <c r="B229" s="33">
        <v>45723</v>
      </c>
      <c r="C229" s="32" t="s">
        <v>15</v>
      </c>
      <c r="D229" s="32" t="s">
        <v>16</v>
      </c>
      <c r="E229" s="32" t="s">
        <v>117</v>
      </c>
      <c r="F229" s="32" t="s">
        <v>118</v>
      </c>
      <c r="G229" s="32" t="s">
        <v>19</v>
      </c>
      <c r="H229" s="32">
        <v>2</v>
      </c>
      <c r="I229" s="34">
        <v>89.99</v>
      </c>
      <c r="J229" s="32" t="s">
        <v>26</v>
      </c>
      <c r="K229" s="32" t="s">
        <v>50</v>
      </c>
      <c r="L229" s="32" t="s">
        <v>27</v>
      </c>
      <c r="M229" s="33">
        <v>45295</v>
      </c>
      <c r="N229" s="34">
        <v>179.98</v>
      </c>
    </row>
    <row r="230" spans="1:14" x14ac:dyDescent="0.3">
      <c r="A230" s="32" t="s">
        <v>375</v>
      </c>
      <c r="B230" s="33">
        <v>45723</v>
      </c>
      <c r="C230" s="32" t="s">
        <v>120</v>
      </c>
      <c r="D230" s="32" t="s">
        <v>121</v>
      </c>
      <c r="E230" s="32" t="s">
        <v>17</v>
      </c>
      <c r="F230" s="32" t="s">
        <v>18</v>
      </c>
      <c r="G230" s="32" t="s">
        <v>19</v>
      </c>
      <c r="H230" s="32">
        <v>5</v>
      </c>
      <c r="I230" s="34">
        <v>249.99</v>
      </c>
      <c r="J230" s="32" t="s">
        <v>20</v>
      </c>
      <c r="K230" s="32" t="s">
        <v>63</v>
      </c>
      <c r="L230" s="32" t="s">
        <v>36</v>
      </c>
      <c r="M230" s="33">
        <v>44540</v>
      </c>
      <c r="N230" s="34">
        <v>1249.95</v>
      </c>
    </row>
    <row r="231" spans="1:14" x14ac:dyDescent="0.3">
      <c r="A231" s="32" t="s">
        <v>376</v>
      </c>
      <c r="B231" s="33">
        <v>45724</v>
      </c>
      <c r="C231" s="32" t="s">
        <v>226</v>
      </c>
      <c r="D231" s="32" t="s">
        <v>227</v>
      </c>
      <c r="E231" s="32" t="s">
        <v>44</v>
      </c>
      <c r="F231" s="32" t="s">
        <v>45</v>
      </c>
      <c r="G231" s="32" t="s">
        <v>46</v>
      </c>
      <c r="H231" s="32">
        <v>2</v>
      </c>
      <c r="I231" s="34">
        <v>149.99</v>
      </c>
      <c r="J231" s="32" t="s">
        <v>34</v>
      </c>
      <c r="K231" s="32" t="s">
        <v>21</v>
      </c>
      <c r="L231" s="32" t="s">
        <v>27</v>
      </c>
      <c r="M231" s="33">
        <v>44632</v>
      </c>
      <c r="N231" s="34">
        <v>299.98</v>
      </c>
    </row>
    <row r="232" spans="1:14" x14ac:dyDescent="0.3">
      <c r="A232" s="32" t="s">
        <v>377</v>
      </c>
      <c r="B232" s="33">
        <v>45724</v>
      </c>
      <c r="C232" s="32" t="s">
        <v>144</v>
      </c>
      <c r="D232" s="32" t="s">
        <v>145</v>
      </c>
      <c r="E232" s="32" t="s">
        <v>61</v>
      </c>
      <c r="F232" s="32" t="s">
        <v>62</v>
      </c>
      <c r="G232" s="32" t="s">
        <v>19</v>
      </c>
      <c r="H232" s="32">
        <v>5</v>
      </c>
      <c r="I232" s="34">
        <v>899.99</v>
      </c>
      <c r="J232" s="32" t="s">
        <v>34</v>
      </c>
      <c r="K232" s="32" t="s">
        <v>63</v>
      </c>
      <c r="L232" s="32" t="s">
        <v>27</v>
      </c>
      <c r="M232" s="33">
        <v>45389</v>
      </c>
      <c r="N232" s="34">
        <v>4499.95</v>
      </c>
    </row>
    <row r="233" spans="1:14" x14ac:dyDescent="0.3">
      <c r="A233" s="32" t="s">
        <v>378</v>
      </c>
      <c r="B233" s="33">
        <v>45724</v>
      </c>
      <c r="C233" s="32" t="s">
        <v>55</v>
      </c>
      <c r="D233" s="32" t="s">
        <v>56</v>
      </c>
      <c r="E233" s="32" t="s">
        <v>44</v>
      </c>
      <c r="F233" s="32" t="s">
        <v>45</v>
      </c>
      <c r="G233" s="32" t="s">
        <v>46</v>
      </c>
      <c r="H233" s="32">
        <v>4</v>
      </c>
      <c r="I233" s="34">
        <v>149.99</v>
      </c>
      <c r="J233" s="32" t="s">
        <v>20</v>
      </c>
      <c r="K233" s="32" t="s">
        <v>21</v>
      </c>
      <c r="L233" s="32" t="s">
        <v>36</v>
      </c>
      <c r="M233" s="33">
        <v>45263</v>
      </c>
      <c r="N233" s="34">
        <v>599.96</v>
      </c>
    </row>
    <row r="234" spans="1:14" x14ac:dyDescent="0.3">
      <c r="A234" s="32" t="s">
        <v>379</v>
      </c>
      <c r="B234" s="33">
        <v>45726</v>
      </c>
      <c r="C234" s="32" t="s">
        <v>144</v>
      </c>
      <c r="D234" s="32" t="s">
        <v>145</v>
      </c>
      <c r="E234" s="32" t="s">
        <v>17</v>
      </c>
      <c r="F234" s="32" t="s">
        <v>18</v>
      </c>
      <c r="G234" s="32" t="s">
        <v>19</v>
      </c>
      <c r="H234" s="32">
        <v>1</v>
      </c>
      <c r="I234" s="34">
        <v>249.99</v>
      </c>
      <c r="J234" s="32" t="s">
        <v>20</v>
      </c>
      <c r="K234" s="32" t="s">
        <v>40</v>
      </c>
      <c r="L234" s="32" t="s">
        <v>36</v>
      </c>
      <c r="M234" s="33">
        <v>45117</v>
      </c>
      <c r="N234" s="34">
        <v>249.99</v>
      </c>
    </row>
    <row r="235" spans="1:14" x14ac:dyDescent="0.3">
      <c r="A235" s="32" t="s">
        <v>380</v>
      </c>
      <c r="B235" s="33">
        <v>45734</v>
      </c>
      <c r="C235" s="32" t="s">
        <v>192</v>
      </c>
      <c r="D235" s="32" t="s">
        <v>193</v>
      </c>
      <c r="E235" s="32" t="s">
        <v>31</v>
      </c>
      <c r="F235" s="32" t="s">
        <v>32</v>
      </c>
      <c r="G235" s="32" t="s">
        <v>33</v>
      </c>
      <c r="H235" s="32">
        <v>2</v>
      </c>
      <c r="I235" s="34">
        <v>59.99</v>
      </c>
      <c r="J235" s="32" t="s">
        <v>26</v>
      </c>
      <c r="K235" s="32" t="s">
        <v>50</v>
      </c>
      <c r="L235" s="32" t="s">
        <v>22</v>
      </c>
      <c r="M235" s="33">
        <v>45193</v>
      </c>
      <c r="N235" s="34">
        <v>119.98</v>
      </c>
    </row>
    <row r="236" spans="1:14" x14ac:dyDescent="0.3">
      <c r="A236" s="32" t="s">
        <v>381</v>
      </c>
      <c r="B236" s="33">
        <v>45737</v>
      </c>
      <c r="C236" s="32" t="s">
        <v>132</v>
      </c>
      <c r="D236" s="32" t="s">
        <v>133</v>
      </c>
      <c r="E236" s="32" t="s">
        <v>44</v>
      </c>
      <c r="F236" s="32" t="s">
        <v>45</v>
      </c>
      <c r="G236" s="32" t="s">
        <v>46</v>
      </c>
      <c r="H236" s="32">
        <v>2</v>
      </c>
      <c r="I236" s="34">
        <v>149.99</v>
      </c>
      <c r="J236" s="32" t="s">
        <v>20</v>
      </c>
      <c r="K236" s="32" t="s">
        <v>50</v>
      </c>
      <c r="L236" s="32" t="s">
        <v>27</v>
      </c>
      <c r="M236" s="33">
        <v>45233</v>
      </c>
      <c r="N236" s="34">
        <v>299.98</v>
      </c>
    </row>
    <row r="237" spans="1:14" x14ac:dyDescent="0.3">
      <c r="A237" s="32" t="s">
        <v>382</v>
      </c>
      <c r="B237" s="33">
        <v>45737</v>
      </c>
      <c r="C237" s="32" t="s">
        <v>150</v>
      </c>
      <c r="D237" s="32" t="s">
        <v>151</v>
      </c>
      <c r="E237" s="32" t="s">
        <v>61</v>
      </c>
      <c r="F237" s="32" t="s">
        <v>62</v>
      </c>
      <c r="G237" s="32" t="s">
        <v>19</v>
      </c>
      <c r="H237" s="32">
        <v>3</v>
      </c>
      <c r="I237" s="34">
        <v>899.99</v>
      </c>
      <c r="J237" s="32" t="s">
        <v>57</v>
      </c>
      <c r="K237" s="32" t="s">
        <v>40</v>
      </c>
      <c r="L237" s="32" t="s">
        <v>27</v>
      </c>
      <c r="M237" s="33">
        <v>44876</v>
      </c>
      <c r="N237" s="34">
        <v>2699.97</v>
      </c>
    </row>
    <row r="238" spans="1:14" x14ac:dyDescent="0.3">
      <c r="A238" s="32" t="s">
        <v>383</v>
      </c>
      <c r="B238" s="33">
        <v>45737</v>
      </c>
      <c r="C238" s="32" t="s">
        <v>48</v>
      </c>
      <c r="D238" s="32" t="s">
        <v>49</v>
      </c>
      <c r="E238" s="32" t="s">
        <v>61</v>
      </c>
      <c r="F238" s="32" t="s">
        <v>62</v>
      </c>
      <c r="G238" s="32" t="s">
        <v>19</v>
      </c>
      <c r="H238" s="32">
        <v>3</v>
      </c>
      <c r="I238" s="34">
        <v>899.99</v>
      </c>
      <c r="J238" s="32" t="s">
        <v>34</v>
      </c>
      <c r="K238" s="32" t="s">
        <v>40</v>
      </c>
      <c r="L238" s="32" t="s">
        <v>22</v>
      </c>
      <c r="M238" s="33">
        <v>44975</v>
      </c>
      <c r="N238" s="34">
        <v>2699.97</v>
      </c>
    </row>
    <row r="239" spans="1:14" x14ac:dyDescent="0.3">
      <c r="A239" s="32" t="s">
        <v>384</v>
      </c>
      <c r="B239" s="33">
        <v>45739</v>
      </c>
      <c r="C239" s="32" t="s">
        <v>15</v>
      </c>
      <c r="D239" s="32" t="s">
        <v>16</v>
      </c>
      <c r="E239" s="32" t="s">
        <v>105</v>
      </c>
      <c r="F239" s="32" t="s">
        <v>106</v>
      </c>
      <c r="G239" s="32" t="s">
        <v>46</v>
      </c>
      <c r="H239" s="32">
        <v>3</v>
      </c>
      <c r="I239" s="34">
        <v>299.99</v>
      </c>
      <c r="J239" s="32" t="s">
        <v>26</v>
      </c>
      <c r="K239" s="32" t="s">
        <v>50</v>
      </c>
      <c r="L239" s="32" t="s">
        <v>27</v>
      </c>
      <c r="M239" s="33">
        <v>45234</v>
      </c>
      <c r="N239" s="34">
        <v>899.97</v>
      </c>
    </row>
    <row r="240" spans="1:14" x14ac:dyDescent="0.3">
      <c r="A240" s="32" t="s">
        <v>385</v>
      </c>
      <c r="B240" s="33">
        <v>45740</v>
      </c>
      <c r="C240" s="32" t="s">
        <v>386</v>
      </c>
      <c r="D240" s="32" t="s">
        <v>387</v>
      </c>
      <c r="E240" s="32" t="s">
        <v>44</v>
      </c>
      <c r="F240" s="32" t="s">
        <v>45</v>
      </c>
      <c r="G240" s="32" t="s">
        <v>46</v>
      </c>
      <c r="H240" s="32">
        <v>4</v>
      </c>
      <c r="I240" s="34">
        <v>149.99</v>
      </c>
      <c r="J240" s="32" t="s">
        <v>34</v>
      </c>
      <c r="K240" s="32" t="s">
        <v>50</v>
      </c>
      <c r="L240" s="32" t="s">
        <v>36</v>
      </c>
      <c r="M240" s="33">
        <v>44560</v>
      </c>
      <c r="N240" s="34">
        <v>599.96</v>
      </c>
    </row>
    <row r="241" spans="1:14" x14ac:dyDescent="0.3">
      <c r="A241" s="32" t="s">
        <v>388</v>
      </c>
      <c r="B241" s="33">
        <v>45743</v>
      </c>
      <c r="C241" s="32" t="s">
        <v>102</v>
      </c>
      <c r="D241" s="32" t="s">
        <v>103</v>
      </c>
      <c r="E241" s="32" t="s">
        <v>114</v>
      </c>
      <c r="F241" s="32" t="s">
        <v>115</v>
      </c>
      <c r="G241" s="32" t="s">
        <v>33</v>
      </c>
      <c r="H241" s="32">
        <v>4</v>
      </c>
      <c r="I241" s="34">
        <v>79.989999999999995</v>
      </c>
      <c r="J241" s="32" t="s">
        <v>26</v>
      </c>
      <c r="K241" s="32" t="s">
        <v>21</v>
      </c>
      <c r="L241" s="32" t="s">
        <v>22</v>
      </c>
      <c r="M241" s="33">
        <v>45288</v>
      </c>
      <c r="N241" s="34">
        <v>319.95999999999998</v>
      </c>
    </row>
    <row r="242" spans="1:14" x14ac:dyDescent="0.3">
      <c r="A242" s="32" t="s">
        <v>389</v>
      </c>
      <c r="B242" s="33">
        <v>45745</v>
      </c>
      <c r="C242" s="32" t="s">
        <v>185</v>
      </c>
      <c r="D242" s="32" t="s">
        <v>186</v>
      </c>
      <c r="E242" s="32" t="s">
        <v>117</v>
      </c>
      <c r="F242" s="32" t="s">
        <v>118</v>
      </c>
      <c r="G242" s="32" t="s">
        <v>19</v>
      </c>
      <c r="H242" s="32">
        <v>5</v>
      </c>
      <c r="I242" s="34">
        <v>89.99</v>
      </c>
      <c r="J242" s="32" t="s">
        <v>34</v>
      </c>
      <c r="K242" s="32" t="s">
        <v>35</v>
      </c>
      <c r="L242" s="32" t="s">
        <v>22</v>
      </c>
      <c r="M242" s="33">
        <v>44704</v>
      </c>
      <c r="N242" s="34">
        <v>449.95</v>
      </c>
    </row>
    <row r="243" spans="1:14" x14ac:dyDescent="0.3">
      <c r="A243" s="32" t="s">
        <v>390</v>
      </c>
      <c r="B243" s="33">
        <v>45746</v>
      </c>
      <c r="C243" s="32" t="s">
        <v>93</v>
      </c>
      <c r="D243" s="32" t="s">
        <v>94</v>
      </c>
      <c r="E243" s="32" t="s">
        <v>44</v>
      </c>
      <c r="F243" s="32" t="s">
        <v>45</v>
      </c>
      <c r="G243" s="32" t="s">
        <v>46</v>
      </c>
      <c r="H243" s="32">
        <v>3</v>
      </c>
      <c r="I243" s="34">
        <v>149.99</v>
      </c>
      <c r="J243" s="32" t="s">
        <v>34</v>
      </c>
      <c r="K243" s="32" t="s">
        <v>21</v>
      </c>
      <c r="L243" s="32" t="s">
        <v>36</v>
      </c>
      <c r="M243" s="33">
        <v>45171</v>
      </c>
      <c r="N243" s="34">
        <v>449.97</v>
      </c>
    </row>
    <row r="244" spans="1:14" x14ac:dyDescent="0.3">
      <c r="A244" s="32" t="s">
        <v>391</v>
      </c>
      <c r="B244" s="33">
        <v>45746</v>
      </c>
      <c r="C244" s="32" t="s">
        <v>65</v>
      </c>
      <c r="D244" s="32" t="s">
        <v>66</v>
      </c>
      <c r="E244" s="32" t="s">
        <v>117</v>
      </c>
      <c r="F244" s="32" t="s">
        <v>118</v>
      </c>
      <c r="G244" s="32" t="s">
        <v>19</v>
      </c>
      <c r="H244" s="32">
        <v>2</v>
      </c>
      <c r="I244" s="34">
        <v>89.99</v>
      </c>
      <c r="J244" s="32" t="s">
        <v>57</v>
      </c>
      <c r="K244" s="32" t="s">
        <v>50</v>
      </c>
      <c r="L244" s="32" t="s">
        <v>27</v>
      </c>
      <c r="M244" s="33">
        <v>44522</v>
      </c>
      <c r="N244" s="34">
        <v>179.98</v>
      </c>
    </row>
    <row r="245" spans="1:14" x14ac:dyDescent="0.3">
      <c r="A245" s="32" t="s">
        <v>392</v>
      </c>
      <c r="B245" s="33">
        <v>45748</v>
      </c>
      <c r="C245" s="32" t="s">
        <v>102</v>
      </c>
      <c r="D245" s="32" t="s">
        <v>103</v>
      </c>
      <c r="E245" s="32" t="s">
        <v>80</v>
      </c>
      <c r="F245" s="32" t="s">
        <v>81</v>
      </c>
      <c r="G245" s="32" t="s">
        <v>19</v>
      </c>
      <c r="H245" s="32">
        <v>2</v>
      </c>
      <c r="I245" s="34">
        <v>699.99</v>
      </c>
      <c r="J245" s="32" t="s">
        <v>34</v>
      </c>
      <c r="K245" s="32" t="s">
        <v>40</v>
      </c>
      <c r="L245" s="32" t="s">
        <v>36</v>
      </c>
      <c r="M245" s="33">
        <v>44618</v>
      </c>
      <c r="N245" s="34">
        <v>1399.98</v>
      </c>
    </row>
    <row r="246" spans="1:14" x14ac:dyDescent="0.3">
      <c r="A246" s="32" t="s">
        <v>393</v>
      </c>
      <c r="B246" s="33">
        <v>45749</v>
      </c>
      <c r="C246" s="32" t="s">
        <v>123</v>
      </c>
      <c r="D246" s="32" t="s">
        <v>124</v>
      </c>
      <c r="E246" s="32" t="s">
        <v>61</v>
      </c>
      <c r="F246" s="32" t="s">
        <v>62</v>
      </c>
      <c r="G246" s="32" t="s">
        <v>19</v>
      </c>
      <c r="H246" s="32">
        <v>3</v>
      </c>
      <c r="I246" s="34">
        <v>899.99</v>
      </c>
      <c r="J246" s="32" t="s">
        <v>20</v>
      </c>
      <c r="K246" s="32" t="s">
        <v>21</v>
      </c>
      <c r="L246" s="32" t="s">
        <v>36</v>
      </c>
      <c r="M246" s="33">
        <v>44953</v>
      </c>
      <c r="N246" s="34">
        <v>2699.97</v>
      </c>
    </row>
    <row r="247" spans="1:14" x14ac:dyDescent="0.3">
      <c r="A247" s="32" t="s">
        <v>394</v>
      </c>
      <c r="B247" s="33">
        <v>45755</v>
      </c>
      <c r="C247" s="32" t="s">
        <v>93</v>
      </c>
      <c r="D247" s="32" t="s">
        <v>94</v>
      </c>
      <c r="E247" s="32" t="s">
        <v>114</v>
      </c>
      <c r="F247" s="32" t="s">
        <v>115</v>
      </c>
      <c r="G247" s="32" t="s">
        <v>33</v>
      </c>
      <c r="H247" s="32">
        <v>3</v>
      </c>
      <c r="I247" s="34">
        <v>79.989999999999995</v>
      </c>
      <c r="J247" s="32" t="s">
        <v>26</v>
      </c>
      <c r="K247" s="32" t="s">
        <v>40</v>
      </c>
      <c r="L247" s="32" t="s">
        <v>22</v>
      </c>
      <c r="M247" s="33">
        <v>44511</v>
      </c>
      <c r="N247" s="34">
        <v>239.97</v>
      </c>
    </row>
    <row r="248" spans="1:14" x14ac:dyDescent="0.3">
      <c r="A248" s="32" t="s">
        <v>395</v>
      </c>
      <c r="B248" s="33">
        <v>45756</v>
      </c>
      <c r="C248" s="32" t="s">
        <v>59</v>
      </c>
      <c r="D248" s="32" t="s">
        <v>60</v>
      </c>
      <c r="E248" s="32" t="s">
        <v>117</v>
      </c>
      <c r="F248" s="32" t="s">
        <v>118</v>
      </c>
      <c r="G248" s="32" t="s">
        <v>19</v>
      </c>
      <c r="H248" s="32">
        <v>1</v>
      </c>
      <c r="I248" s="34">
        <v>89.99</v>
      </c>
      <c r="J248" s="32" t="s">
        <v>57</v>
      </c>
      <c r="K248" s="32" t="s">
        <v>63</v>
      </c>
      <c r="L248" s="32" t="s">
        <v>22</v>
      </c>
      <c r="M248" s="33">
        <v>45346</v>
      </c>
      <c r="N248" s="34">
        <v>89.99</v>
      </c>
    </row>
    <row r="249" spans="1:14" x14ac:dyDescent="0.3">
      <c r="A249" s="32" t="s">
        <v>396</v>
      </c>
      <c r="B249" s="33">
        <v>45758</v>
      </c>
      <c r="C249" s="32" t="s">
        <v>293</v>
      </c>
      <c r="D249" s="32" t="s">
        <v>294</v>
      </c>
      <c r="E249" s="32" t="s">
        <v>80</v>
      </c>
      <c r="F249" s="32" t="s">
        <v>81</v>
      </c>
      <c r="G249" s="32" t="s">
        <v>19</v>
      </c>
      <c r="H249" s="32">
        <v>3</v>
      </c>
      <c r="I249" s="34">
        <v>699.99</v>
      </c>
      <c r="J249" s="32" t="s">
        <v>34</v>
      </c>
      <c r="K249" s="32" t="s">
        <v>40</v>
      </c>
      <c r="L249" s="32" t="s">
        <v>22</v>
      </c>
      <c r="M249" s="33">
        <v>44909</v>
      </c>
      <c r="N249" s="34">
        <v>2099.9699999999998</v>
      </c>
    </row>
    <row r="250" spans="1:14" x14ac:dyDescent="0.3">
      <c r="A250" s="32" t="s">
        <v>397</v>
      </c>
      <c r="B250" s="33">
        <v>45758</v>
      </c>
      <c r="C250" s="32" t="s">
        <v>226</v>
      </c>
      <c r="D250" s="32" t="s">
        <v>227</v>
      </c>
      <c r="E250" s="32" t="s">
        <v>117</v>
      </c>
      <c r="F250" s="32" t="s">
        <v>118</v>
      </c>
      <c r="G250" s="32" t="s">
        <v>19</v>
      </c>
      <c r="H250" s="32">
        <v>2</v>
      </c>
      <c r="I250" s="34">
        <v>89.99</v>
      </c>
      <c r="J250" s="32" t="s">
        <v>57</v>
      </c>
      <c r="K250" s="32" t="s">
        <v>63</v>
      </c>
      <c r="L250" s="32" t="s">
        <v>22</v>
      </c>
      <c r="M250" s="33">
        <v>45088</v>
      </c>
      <c r="N250" s="34">
        <v>179.98</v>
      </c>
    </row>
    <row r="251" spans="1:14" x14ac:dyDescent="0.3">
      <c r="A251" s="32" t="s">
        <v>398</v>
      </c>
      <c r="B251" s="33">
        <v>45758</v>
      </c>
      <c r="C251" s="32" t="s">
        <v>138</v>
      </c>
      <c r="D251" s="32" t="s">
        <v>139</v>
      </c>
      <c r="E251" s="32" t="s">
        <v>117</v>
      </c>
      <c r="F251" s="32" t="s">
        <v>118</v>
      </c>
      <c r="G251" s="32" t="s">
        <v>19</v>
      </c>
      <c r="H251" s="32">
        <v>3</v>
      </c>
      <c r="I251" s="34">
        <v>89.99</v>
      </c>
      <c r="J251" s="32" t="s">
        <v>57</v>
      </c>
      <c r="K251" s="32" t="s">
        <v>40</v>
      </c>
      <c r="L251" s="32" t="s">
        <v>27</v>
      </c>
      <c r="M251" s="33">
        <v>44878</v>
      </c>
      <c r="N251" s="34">
        <v>269.97000000000003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1"/>
  <sheetViews>
    <sheetView showGridLines="0" zoomScaleNormal="100" workbookViewId="0">
      <selection activeCell="B14" sqref="B14"/>
    </sheetView>
  </sheetViews>
  <sheetFormatPr defaultColWidth="8.6640625" defaultRowHeight="14.4" x14ac:dyDescent="0.3"/>
  <cols>
    <col min="1" max="1" width="26" customWidth="1"/>
    <col min="2" max="14" width="16" customWidth="1"/>
    <col min="20" max="21" width="13" hidden="1" customWidth="1"/>
  </cols>
  <sheetData>
    <row r="1" spans="1:20" ht="21" x14ac:dyDescent="0.4">
      <c r="A1" s="38" t="s">
        <v>399</v>
      </c>
      <c r="B1" s="39"/>
      <c r="C1" s="39"/>
      <c r="D1" s="39"/>
      <c r="E1" s="39"/>
      <c r="F1" s="39"/>
    </row>
    <row r="2" spans="1:20" x14ac:dyDescent="0.3">
      <c r="T2" t="str">
        <f>IF(AND('Raw Data'!G2=$B$17,'Raw Data'!K2=$E$17,'Raw Data'!N2&gt;=$B$18),SUMPRODUCT(('Raw Data'!$G$2:$G2=$B$17)*('Raw Data'!$K$2:$K2=$E$17)*('Raw Data'!$N$2:$N2&gt;=$B$18)),"")</f>
        <v/>
      </c>
    </row>
    <row r="3" spans="1:20" ht="19.5" customHeight="1" x14ac:dyDescent="0.3">
      <c r="A3" s="36" t="s">
        <v>400</v>
      </c>
      <c r="B3" s="36"/>
      <c r="C3" s="36"/>
      <c r="D3" s="36"/>
      <c r="E3" s="36"/>
      <c r="F3" s="36"/>
      <c r="T3" t="str">
        <f>IF(AND('Raw Data'!G3=$B$17,'Raw Data'!K3=$E$17,'Raw Data'!N3&gt;=$B$18),SUMPRODUCT(('Raw Data'!$G$2:$G3=$B$17)*('Raw Data'!$K$2:$K3=$E$17)*('Raw Data'!$N$2:$N3&gt;=$B$18)),"")</f>
        <v/>
      </c>
    </row>
    <row r="4" spans="1:20" x14ac:dyDescent="0.3">
      <c r="A4" s="5" t="s">
        <v>401</v>
      </c>
      <c r="B4" s="6">
        <f ca="1">NOW()</f>
        <v>46288.473841203704</v>
      </c>
      <c r="T4" t="str">
        <f>IF(AND('Raw Data'!G4=$B$17,'Raw Data'!K4=$E$17,'Raw Data'!N4&gt;=$B$18),SUMPRODUCT(('Raw Data'!$G$2:$G4=$B$17)*('Raw Data'!$K$2:$K4=$E$17)*('Raw Data'!$N$2:$N4&gt;=$B$18)),"")</f>
        <v/>
      </c>
    </row>
    <row r="5" spans="1:20" x14ac:dyDescent="0.3">
      <c r="A5" s="5" t="s">
        <v>402</v>
      </c>
      <c r="B5" s="7">
        <f ca="1">TODAY()</f>
        <v>46288</v>
      </c>
      <c r="T5" t="str">
        <f>IF(AND('Raw Data'!G5=$B$17,'Raw Data'!K5=$E$17,'Raw Data'!N5&gt;=$B$18),SUMPRODUCT(('Raw Data'!$G$2:$G5=$B$17)*('Raw Data'!$K$2:$K5=$E$17)*('Raw Data'!$N$2:$N5&gt;=$B$18)),"")</f>
        <v/>
      </c>
    </row>
    <row r="6" spans="1:20" x14ac:dyDescent="0.3">
      <c r="A6" s="5" t="s">
        <v>403</v>
      </c>
      <c r="B6" s="7">
        <f>MIN('Raw Data'!B2:B251)</f>
        <v>45393</v>
      </c>
      <c r="T6" t="str">
        <f>IF(AND('Raw Data'!G6=$B$17,'Raw Data'!K6=$E$17,'Raw Data'!N6&gt;=$B$18),SUMPRODUCT(('Raw Data'!$G$2:$G6=$B$17)*('Raw Data'!$K$2:$K6=$E$17)*('Raw Data'!$N$2:$N6&gt;=$B$18)),"")</f>
        <v/>
      </c>
    </row>
    <row r="7" spans="1:20" x14ac:dyDescent="0.3">
      <c r="A7" s="5" t="s">
        <v>404</v>
      </c>
      <c r="B7" s="7">
        <f>MAX('Raw Data'!B2:B251)</f>
        <v>45758</v>
      </c>
      <c r="T7" t="str">
        <f>IF(AND('Raw Data'!G7=$B$17,'Raw Data'!K7=$E$17,'Raw Data'!N7&gt;=$B$18),SUMPRODUCT(('Raw Data'!$G$2:$G7=$B$17)*('Raw Data'!$K$2:$K7=$E$17)*('Raw Data'!$N$2:$N7&gt;=$B$18)),"")</f>
        <v/>
      </c>
    </row>
    <row r="8" spans="1:20" x14ac:dyDescent="0.3">
      <c r="A8" s="5" t="s">
        <v>405</v>
      </c>
      <c r="B8" s="8">
        <f ca="1">DATEDIF(B7,B5,"d")</f>
        <v>530</v>
      </c>
      <c r="T8" t="str">
        <f>IF(AND('Raw Data'!G8=$B$17,'Raw Data'!K8=$E$17,'Raw Data'!N8&gt;=$B$18),SUMPRODUCT(('Raw Data'!$G$2:$G8=$B$17)*('Raw Data'!$K$2:$K8=$E$17)*('Raw Data'!$N$2:$N8&gt;=$B$18)),"")</f>
        <v/>
      </c>
    </row>
    <row r="9" spans="1:20" x14ac:dyDescent="0.3">
      <c r="A9" s="5" t="s">
        <v>406</v>
      </c>
      <c r="B9" s="8">
        <f>DATEDIF(B6,B7,"m")</f>
        <v>12</v>
      </c>
      <c r="T9" t="str">
        <f>IF(AND('Raw Data'!G9=$B$17,'Raw Data'!K9=$E$17,'Raw Data'!N9&gt;=$B$18),SUMPRODUCT(('Raw Data'!$G$2:$G9=$B$17)*('Raw Data'!$K$2:$K9=$E$17)*('Raw Data'!$N$2:$N9&gt;=$B$18)),"")</f>
        <v/>
      </c>
    </row>
    <row r="10" spans="1:20" x14ac:dyDescent="0.3">
      <c r="A10" s="5" t="s">
        <v>407</v>
      </c>
      <c r="B10" s="7">
        <f>EOMONTH(B7,0)</f>
        <v>45777</v>
      </c>
      <c r="T10" t="str">
        <f>IF(AND('Raw Data'!G10=$B$17,'Raw Data'!K10=$E$17,'Raw Data'!N10&gt;=$B$18),SUMPRODUCT(('Raw Data'!$G$2:$G10=$B$17)*('Raw Data'!$K$2:$K10=$E$17)*('Raw Data'!$N$2:$N10&gt;=$B$18)),"")</f>
        <v/>
      </c>
    </row>
    <row r="11" spans="1:20" x14ac:dyDescent="0.3">
      <c r="A11" s="5" t="s">
        <v>408</v>
      </c>
      <c r="B11" s="7">
        <f>EOMONTH(B7,1)</f>
        <v>45808</v>
      </c>
      <c r="T11" t="str">
        <f>IF(AND('Raw Data'!G11=$B$17,'Raw Data'!K11=$E$17,'Raw Data'!N11&gt;=$B$18),SUMPRODUCT(('Raw Data'!$G$2:$G11=$B$17)*('Raw Data'!$K$2:$K11=$E$17)*('Raw Data'!$N$2:$N11&gt;=$B$18)),"")</f>
        <v/>
      </c>
    </row>
    <row r="12" spans="1:20" x14ac:dyDescent="0.3">
      <c r="T12" t="str">
        <f>IF(AND('Raw Data'!G12=$B$17,'Raw Data'!K12=$E$17,'Raw Data'!N12&gt;=$B$18),SUMPRODUCT(('Raw Data'!$G$2:$G12=$B$17)*('Raw Data'!$K$2:$K12=$E$17)*('Raw Data'!$N$2:$N12&gt;=$B$18)),"")</f>
        <v/>
      </c>
    </row>
    <row r="13" spans="1:20" x14ac:dyDescent="0.3">
      <c r="A13" s="5" t="s">
        <v>409</v>
      </c>
      <c r="T13" t="str">
        <f>IF(AND('Raw Data'!G13=$B$17,'Raw Data'!K13=$E$17,'Raw Data'!N13&gt;=$B$18),SUMPRODUCT(('Raw Data'!$G$2:$G13=$B$17)*('Raw Data'!$K$2:$K13=$E$17)*('Raw Data'!$N$2:$N13&gt;=$B$18)),"")</f>
        <v/>
      </c>
    </row>
    <row r="14" spans="1:20" x14ac:dyDescent="0.3">
      <c r="A14" s="2" t="s">
        <v>410</v>
      </c>
      <c r="B14" s="9"/>
      <c r="C14" s="10" t="str">
        <f ca="1">IF(B14&lt;&gt;"",IF(C14="",NOW(),C14),"")</f>
        <v/>
      </c>
      <c r="D14" s="2" t="s">
        <v>411</v>
      </c>
      <c r="T14" t="str">
        <f>IF(AND('Raw Data'!G14=$B$17,'Raw Data'!K14=$E$17,'Raw Data'!N14&gt;=$B$18),SUMPRODUCT(('Raw Data'!$G$2:$G14=$B$17)*('Raw Data'!$K$2:$K14=$E$17)*('Raw Data'!$N$2:$N14&gt;=$B$18)),"")</f>
        <v/>
      </c>
    </row>
    <row r="15" spans="1:20" x14ac:dyDescent="0.3">
      <c r="T15" t="str">
        <f>IF(AND('Raw Data'!G15=$B$17,'Raw Data'!K15=$E$17,'Raw Data'!N15&gt;=$B$18),SUMPRODUCT(('Raw Data'!$G$2:$G15=$B$17)*('Raw Data'!$K$2:$K15=$E$17)*('Raw Data'!$N$2:$N15&gt;=$B$18)),"")</f>
        <v/>
      </c>
    </row>
    <row r="16" spans="1:20" ht="19.5" customHeight="1" x14ac:dyDescent="0.3">
      <c r="A16" s="36" t="s">
        <v>412</v>
      </c>
      <c r="B16" s="36"/>
      <c r="C16" s="36"/>
      <c r="D16" s="36"/>
      <c r="E16" s="36"/>
      <c r="F16" s="36"/>
      <c r="G16" s="36"/>
      <c r="T16" s="2" t="str">
        <f>IF(AND('Raw Data'!G16=$B$17,'Raw Data'!K16=$E$17,'Raw Data'!N16&gt;=$B$18),SUMPRODUCT(('Raw Data'!$G$2:$G16=$B$17)*('Raw Data'!$K$2:$K16=$E$17)*('Raw Data'!$N$2:$N16&gt;=$B$18)),"")</f>
        <v/>
      </c>
    </row>
    <row r="17" spans="1:20" x14ac:dyDescent="0.3">
      <c r="A17" s="5" t="s">
        <v>413</v>
      </c>
      <c r="B17" s="11" t="s">
        <v>19</v>
      </c>
      <c r="D17" s="5" t="s">
        <v>414</v>
      </c>
      <c r="E17" s="11" t="s">
        <v>40</v>
      </c>
      <c r="T17">
        <f>IF(AND('Raw Data'!G17=$B$17,'Raw Data'!K17=$E$17,'Raw Data'!N17&gt;=$B$18),SUMPRODUCT(('Raw Data'!$G$2:$G17=$B$17)*('Raw Data'!$K$2:$K17=$E$17)*('Raw Data'!$N$2:$N17&gt;=$B$18)),"")</f>
        <v>1</v>
      </c>
    </row>
    <row r="18" spans="1:20" x14ac:dyDescent="0.3">
      <c r="A18" s="5" t="s">
        <v>415</v>
      </c>
      <c r="B18" s="12">
        <v>500</v>
      </c>
      <c r="D18" s="37" t="s">
        <v>416</v>
      </c>
      <c r="E18" s="37"/>
      <c r="F18" s="37"/>
      <c r="G18" s="37"/>
      <c r="H18" s="37"/>
      <c r="I18" s="37"/>
      <c r="J18" s="37"/>
      <c r="T18" t="str">
        <f>IF(AND('Raw Data'!G18=$B$17,'Raw Data'!K18=$E$17,'Raw Data'!N18&gt;=$B$18),SUMPRODUCT(('Raw Data'!$G$2:$G18=$B$17)*('Raw Data'!$K$2:$K18=$E$17)*('Raw Data'!$N$2:$N18&gt;=$B$18)),"")</f>
        <v/>
      </c>
    </row>
    <row r="19" spans="1:20" x14ac:dyDescent="0.3">
      <c r="A19" s="13" t="s">
        <v>0</v>
      </c>
      <c r="B19" s="13" t="s">
        <v>1</v>
      </c>
      <c r="C19" s="13" t="s">
        <v>3</v>
      </c>
      <c r="D19" s="13" t="s">
        <v>5</v>
      </c>
      <c r="E19" s="13" t="s">
        <v>10</v>
      </c>
      <c r="F19" s="13" t="s">
        <v>6</v>
      </c>
      <c r="G19" s="13" t="s">
        <v>13</v>
      </c>
      <c r="T19">
        <f>IF(AND('Raw Data'!G19=$B$17,'Raw Data'!K19=$E$17,'Raw Data'!N19&gt;=$B$18),SUMPRODUCT(('Raw Data'!$G$2:$G19=$B$17)*('Raw Data'!$K$2:$K19=$E$17)*('Raw Data'!$N$2:$N19&gt;=$B$18)),"")</f>
        <v>2</v>
      </c>
    </row>
    <row r="20" spans="1:20" x14ac:dyDescent="0.3">
      <c r="A20" s="14" t="str">
        <f>IFERROR(INDEX('Raw Data'!$A$2:$A$251,MATCH(ROW()-19,$T$2:$T$251,0)),"")</f>
        <v>TRX0230</v>
      </c>
      <c r="B20" s="7">
        <f>IFERROR(INDEX('Raw Data'!$B$2:$B$251,MATCH(ROW()-19,$T$2:$T$251,0)),"")</f>
        <v>45409</v>
      </c>
      <c r="C20" s="14" t="str">
        <f>IFERROR(INDEX('Raw Data'!$D$2:$D$251,MATCH(ROW()-19,$T$2:$T$251,0)),"")</f>
        <v>George Adams</v>
      </c>
      <c r="D20" s="14" t="str">
        <f>IFERROR(INDEX('Raw Data'!$F$2:$F$251,MATCH(ROW()-19,$T$2:$T$251,0)),"")</f>
        <v>Laptop</v>
      </c>
      <c r="E20" s="14" t="str">
        <f>IFERROR(INDEX('Raw Data'!$K$2:$K$251,MATCH(ROW()-19,$T$2:$T$251,0)),"")</f>
        <v>North</v>
      </c>
      <c r="F20" s="14" t="str">
        <f>IFERROR(INDEX('Raw Data'!$G$2:$G$251,MATCH(ROW()-19,$T$2:$T$251,0)),"")</f>
        <v>Electronics</v>
      </c>
      <c r="G20" s="15">
        <f>IFERROR(INDEX('Raw Data'!$N$2:$N$251,MATCH(ROW()-19,$T$2:$T$251,0)),"")</f>
        <v>899.99</v>
      </c>
      <c r="T20" t="str">
        <f>IF(AND('Raw Data'!G20=$B$17,'Raw Data'!K20=$E$17,'Raw Data'!N20&gt;=$B$18),SUMPRODUCT(('Raw Data'!$G$2:$G20=$B$17)*('Raw Data'!$K$2:$K20=$E$17)*('Raw Data'!$N$2:$N20&gt;=$B$18)),"")</f>
        <v/>
      </c>
    </row>
    <row r="21" spans="1:20" x14ac:dyDescent="0.3">
      <c r="A21" s="14" t="str">
        <f>IFERROR(INDEX('Raw Data'!$A$2:$A$251,MATCH(ROW()-19,$T$2:$T$251,0)),"")</f>
        <v>TRX0134</v>
      </c>
      <c r="B21" s="7">
        <f>IFERROR(INDEX('Raw Data'!$B$2:$B$251,MATCH(ROW()-19,$T$2:$T$251,0)),"")</f>
        <v>45410</v>
      </c>
      <c r="C21" s="14" t="str">
        <f>IFERROR(INDEX('Raw Data'!$D$2:$D$251,MATCH(ROW()-19,$T$2:$T$251,0)),"")</f>
        <v>Maria Garcia</v>
      </c>
      <c r="D21" s="14" t="str">
        <f>IFERROR(INDEX('Raw Data'!$F$2:$F$251,MATCH(ROW()-19,$T$2:$T$251,0)),"")</f>
        <v>Smartphone</v>
      </c>
      <c r="E21" s="14" t="str">
        <f>IFERROR(INDEX('Raw Data'!$K$2:$K$251,MATCH(ROW()-19,$T$2:$T$251,0)),"")</f>
        <v>North</v>
      </c>
      <c r="F21" s="14" t="str">
        <f>IFERROR(INDEX('Raw Data'!$G$2:$G$251,MATCH(ROW()-19,$T$2:$T$251,0)),"")</f>
        <v>Electronics</v>
      </c>
      <c r="G21" s="15">
        <f>IFERROR(INDEX('Raw Data'!$N$2:$N$251,MATCH(ROW()-19,$T$2:$T$251,0)),"")</f>
        <v>1399.98</v>
      </c>
      <c r="T21">
        <f>IF(AND('Raw Data'!G21=$B$17,'Raw Data'!K21=$E$17,'Raw Data'!N21&gt;=$B$18),SUMPRODUCT(('Raw Data'!$G$2:$G21=$B$17)*('Raw Data'!$K$2:$K21=$E$17)*('Raw Data'!$N$2:$N21&gt;=$B$18)),"")</f>
        <v>3</v>
      </c>
    </row>
    <row r="22" spans="1:20" x14ac:dyDescent="0.3">
      <c r="A22" s="14" t="str">
        <f>IFERROR(INDEX('Raw Data'!$A$2:$A$251,MATCH(ROW()-19,$T$2:$T$251,0)),"")</f>
        <v>TRX0222</v>
      </c>
      <c r="B22" s="7">
        <f>IFERROR(INDEX('Raw Data'!$B$2:$B$251,MATCH(ROW()-19,$T$2:$T$251,0)),"")</f>
        <v>45410</v>
      </c>
      <c r="C22" s="14" t="str">
        <f>IFERROR(INDEX('Raw Data'!$D$2:$D$251,MATCH(ROW()-19,$T$2:$T$251,0)),"")</f>
        <v>Virginia Sanders</v>
      </c>
      <c r="D22" s="14" t="str">
        <f>IFERROR(INDEX('Raw Data'!$F$2:$F$251,MATCH(ROW()-19,$T$2:$T$251,0)),"")</f>
        <v>Monitor</v>
      </c>
      <c r="E22" s="14" t="str">
        <f>IFERROR(INDEX('Raw Data'!$K$2:$K$251,MATCH(ROW()-19,$T$2:$T$251,0)),"")</f>
        <v>North</v>
      </c>
      <c r="F22" s="14" t="str">
        <f>IFERROR(INDEX('Raw Data'!$G$2:$G$251,MATCH(ROW()-19,$T$2:$T$251,0)),"")</f>
        <v>Electronics</v>
      </c>
      <c r="G22" s="15">
        <f>IFERROR(INDEX('Raw Data'!$N$2:$N$251,MATCH(ROW()-19,$T$2:$T$251,0)),"")</f>
        <v>749.97</v>
      </c>
      <c r="T22" t="str">
        <f>IF(AND('Raw Data'!G22=$B$17,'Raw Data'!K22=$E$17,'Raw Data'!N22&gt;=$B$18),SUMPRODUCT(('Raw Data'!$G$2:$G22=$B$17)*('Raw Data'!$K$2:$K22=$E$17)*('Raw Data'!$N$2:$N22&gt;=$B$18)),"")</f>
        <v/>
      </c>
    </row>
    <row r="23" spans="1:20" x14ac:dyDescent="0.3">
      <c r="A23" s="14" t="str">
        <f>IFERROR(INDEX('Raw Data'!$A$2:$A$251,MATCH(ROW()-19,$T$2:$T$251,0)),"")</f>
        <v>TRX0204</v>
      </c>
      <c r="B23" s="7">
        <f>IFERROR(INDEX('Raw Data'!$B$2:$B$251,MATCH(ROW()-19,$T$2:$T$251,0)),"")</f>
        <v>45415</v>
      </c>
      <c r="C23" s="14" t="str">
        <f>IFERROR(INDEX('Raw Data'!$D$2:$D$251,MATCH(ROW()-19,$T$2:$T$251,0)),"")</f>
        <v>Cynthia Price</v>
      </c>
      <c r="D23" s="14" t="str">
        <f>IFERROR(INDEX('Raw Data'!$F$2:$F$251,MATCH(ROW()-19,$T$2:$T$251,0)),"")</f>
        <v>Monitor</v>
      </c>
      <c r="E23" s="14" t="str">
        <f>IFERROR(INDEX('Raw Data'!$K$2:$K$251,MATCH(ROW()-19,$T$2:$T$251,0)),"")</f>
        <v>North</v>
      </c>
      <c r="F23" s="14" t="str">
        <f>IFERROR(INDEX('Raw Data'!$G$2:$G$251,MATCH(ROW()-19,$T$2:$T$251,0)),"")</f>
        <v>Electronics</v>
      </c>
      <c r="G23" s="15">
        <f>IFERROR(INDEX('Raw Data'!$N$2:$N$251,MATCH(ROW()-19,$T$2:$T$251,0)),"")</f>
        <v>999.96</v>
      </c>
      <c r="T23" t="str">
        <f>IF(AND('Raw Data'!G23=$B$17,'Raw Data'!K23=$E$17,'Raw Data'!N23&gt;=$B$18),SUMPRODUCT(('Raw Data'!$G$2:$G23=$B$17)*('Raw Data'!$K$2:$K23=$E$17)*('Raw Data'!$N$2:$N23&gt;=$B$18)),"")</f>
        <v/>
      </c>
    </row>
    <row r="24" spans="1:20" x14ac:dyDescent="0.3">
      <c r="A24" s="14" t="str">
        <f>IFERROR(INDEX('Raw Data'!$A$2:$A$251,MATCH(ROW()-19,$T$2:$T$251,0)),"")</f>
        <v>TRX0217</v>
      </c>
      <c r="B24" s="7">
        <f>IFERROR(INDEX('Raw Data'!$B$2:$B$251,MATCH(ROW()-19,$T$2:$T$251,0)),"")</f>
        <v>45503</v>
      </c>
      <c r="C24" s="14" t="str">
        <f>IFERROR(INDEX('Raw Data'!$D$2:$D$251,MATCH(ROW()-19,$T$2:$T$251,0)),"")</f>
        <v>Mark Carter</v>
      </c>
      <c r="D24" s="14" t="str">
        <f>IFERROR(INDEX('Raw Data'!$F$2:$F$251,MATCH(ROW()-19,$T$2:$T$251,0)),"")</f>
        <v>Smartphone</v>
      </c>
      <c r="E24" s="14" t="str">
        <f>IFERROR(INDEX('Raw Data'!$K$2:$K$251,MATCH(ROW()-19,$T$2:$T$251,0)),"")</f>
        <v>North</v>
      </c>
      <c r="F24" s="14" t="str">
        <f>IFERROR(INDEX('Raw Data'!$G$2:$G$251,MATCH(ROW()-19,$T$2:$T$251,0)),"")</f>
        <v>Electronics</v>
      </c>
      <c r="G24" s="15">
        <f>IFERROR(INDEX('Raw Data'!$N$2:$N$251,MATCH(ROW()-19,$T$2:$T$251,0)),"")</f>
        <v>1399.98</v>
      </c>
      <c r="T24">
        <f>IF(AND('Raw Data'!G24=$B$17,'Raw Data'!K24=$E$17,'Raw Data'!N24&gt;=$B$18),SUMPRODUCT(('Raw Data'!$G$2:$G24=$B$17)*('Raw Data'!$K$2:$K24=$E$17)*('Raw Data'!$N$2:$N24&gt;=$B$18)),"")</f>
        <v>4</v>
      </c>
    </row>
    <row r="25" spans="1:20" x14ac:dyDescent="0.3">
      <c r="A25" s="14" t="str">
        <f>IFERROR(INDEX('Raw Data'!$A$2:$A$251,MATCH(ROW()-19,$T$2:$T$251,0)),"")</f>
        <v>TRX0098</v>
      </c>
      <c r="B25" s="7">
        <f>IFERROR(INDEX('Raw Data'!$B$2:$B$251,MATCH(ROW()-19,$T$2:$T$251,0)),"")</f>
        <v>45517</v>
      </c>
      <c r="C25" s="14" t="str">
        <f>IFERROR(INDEX('Raw Data'!$D$2:$D$251,MATCH(ROW()-19,$T$2:$T$251,0)),"")</f>
        <v>Karen Hill</v>
      </c>
      <c r="D25" s="14" t="str">
        <f>IFERROR(INDEX('Raw Data'!$F$2:$F$251,MATCH(ROW()-19,$T$2:$T$251,0)),"")</f>
        <v>Monitor</v>
      </c>
      <c r="E25" s="14" t="str">
        <f>IFERROR(INDEX('Raw Data'!$K$2:$K$251,MATCH(ROW()-19,$T$2:$T$251,0)),"")</f>
        <v>North</v>
      </c>
      <c r="F25" s="14" t="str">
        <f>IFERROR(INDEX('Raw Data'!$G$2:$G$251,MATCH(ROW()-19,$T$2:$T$251,0)),"")</f>
        <v>Electronics</v>
      </c>
      <c r="G25" s="15">
        <f>IFERROR(INDEX('Raw Data'!$N$2:$N$251,MATCH(ROW()-19,$T$2:$T$251,0)),"")</f>
        <v>749.97</v>
      </c>
      <c r="T25" t="str">
        <f>IF(AND('Raw Data'!G25=$B$17,'Raw Data'!K25=$E$17,'Raw Data'!N25&gt;=$B$18),SUMPRODUCT(('Raw Data'!$G$2:$G25=$B$17)*('Raw Data'!$K$2:$K25=$E$17)*('Raw Data'!$N$2:$N25&gt;=$B$18)),"")</f>
        <v/>
      </c>
    </row>
    <row r="26" spans="1:20" x14ac:dyDescent="0.3">
      <c r="A26" s="14" t="str">
        <f>IFERROR(INDEX('Raw Data'!$A$2:$A$251,MATCH(ROW()-19,$T$2:$T$251,0)),"")</f>
        <v>TRX0248</v>
      </c>
      <c r="B26" s="7">
        <f>IFERROR(INDEX('Raw Data'!$B$2:$B$251,MATCH(ROW()-19,$T$2:$T$251,0)),"")</f>
        <v>45534</v>
      </c>
      <c r="C26" s="14" t="str">
        <f>IFERROR(INDEX('Raw Data'!$D$2:$D$251,MATCH(ROW()-19,$T$2:$T$251,0)),"")</f>
        <v>Sandra Phillips</v>
      </c>
      <c r="D26" s="14" t="str">
        <f>IFERROR(INDEX('Raw Data'!$F$2:$F$251,MATCH(ROW()-19,$T$2:$T$251,0)),"")</f>
        <v>Smartphone</v>
      </c>
      <c r="E26" s="14" t="str">
        <f>IFERROR(INDEX('Raw Data'!$K$2:$K$251,MATCH(ROW()-19,$T$2:$T$251,0)),"")</f>
        <v>North</v>
      </c>
      <c r="F26" s="14" t="str">
        <f>IFERROR(INDEX('Raw Data'!$G$2:$G$251,MATCH(ROW()-19,$T$2:$T$251,0)),"")</f>
        <v>Electronics</v>
      </c>
      <c r="G26" s="15">
        <f>IFERROR(INDEX('Raw Data'!$N$2:$N$251,MATCH(ROW()-19,$T$2:$T$251,0)),"")</f>
        <v>1399.98</v>
      </c>
      <c r="T26" t="str">
        <f>IF(AND('Raw Data'!G26=$B$17,'Raw Data'!K26=$E$17,'Raw Data'!N26&gt;=$B$18),SUMPRODUCT(('Raw Data'!$G$2:$G26=$B$17)*('Raw Data'!$K$2:$K26=$E$17)*('Raw Data'!$N$2:$N26&gt;=$B$18)),"")</f>
        <v/>
      </c>
    </row>
    <row r="27" spans="1:20" x14ac:dyDescent="0.3">
      <c r="A27" s="14" t="str">
        <f>IFERROR(INDEX('Raw Data'!$A$2:$A$251,MATCH(ROW()-19,$T$2:$T$251,0)),"")</f>
        <v>TRX0005</v>
      </c>
      <c r="B27" s="7">
        <f>IFERROR(INDEX('Raw Data'!$B$2:$B$251,MATCH(ROW()-19,$T$2:$T$251,0)),"")</f>
        <v>45550</v>
      </c>
      <c r="C27" s="14" t="str">
        <f>IFERROR(INDEX('Raw Data'!$D$2:$D$251,MATCH(ROW()-19,$T$2:$T$251,0)),"")</f>
        <v>Ruth Brooks</v>
      </c>
      <c r="D27" s="14" t="str">
        <f>IFERROR(INDEX('Raw Data'!$F$2:$F$251,MATCH(ROW()-19,$T$2:$T$251,0)),"")</f>
        <v>Headphones</v>
      </c>
      <c r="E27" s="14" t="str">
        <f>IFERROR(INDEX('Raw Data'!$K$2:$K$251,MATCH(ROW()-19,$T$2:$T$251,0)),"")</f>
        <v>North</v>
      </c>
      <c r="F27" s="14" t="str">
        <f>IFERROR(INDEX('Raw Data'!$G$2:$G$251,MATCH(ROW()-19,$T$2:$T$251,0)),"")</f>
        <v>Electronics</v>
      </c>
      <c r="G27" s="15">
        <f>IFERROR(INDEX('Raw Data'!$N$2:$N$251,MATCH(ROW()-19,$T$2:$T$251,0)),"")</f>
        <v>599.96</v>
      </c>
      <c r="T27" t="str">
        <f>IF(AND('Raw Data'!G27=$B$17,'Raw Data'!K27=$E$17,'Raw Data'!N27&gt;=$B$18),SUMPRODUCT(('Raw Data'!$G$2:$G27=$B$17)*('Raw Data'!$K$2:$K27=$E$17)*('Raw Data'!$N$2:$N27&gt;=$B$18)),"")</f>
        <v/>
      </c>
    </row>
    <row r="28" spans="1:20" x14ac:dyDescent="0.3">
      <c r="A28" s="14" t="str">
        <f>IFERROR(INDEX('Raw Data'!$A$2:$A$251,MATCH(ROW()-19,$T$2:$T$251,0)),"")</f>
        <v>TRX0177</v>
      </c>
      <c r="B28" s="7">
        <f>IFERROR(INDEX('Raw Data'!$B$2:$B$251,MATCH(ROW()-19,$T$2:$T$251,0)),"")</f>
        <v>45559</v>
      </c>
      <c r="C28" s="14" t="str">
        <f>IFERROR(INDEX('Raw Data'!$D$2:$D$251,MATCH(ROW()-19,$T$2:$T$251,0)),"")</f>
        <v>Sandra Phillips</v>
      </c>
      <c r="D28" s="14" t="str">
        <f>IFERROR(INDEX('Raw Data'!$F$2:$F$251,MATCH(ROW()-19,$T$2:$T$251,0)),"")</f>
        <v>Laptop</v>
      </c>
      <c r="E28" s="14" t="str">
        <f>IFERROR(INDEX('Raw Data'!$K$2:$K$251,MATCH(ROW()-19,$T$2:$T$251,0)),"")</f>
        <v>North</v>
      </c>
      <c r="F28" s="14" t="str">
        <f>IFERROR(INDEX('Raw Data'!$G$2:$G$251,MATCH(ROW()-19,$T$2:$T$251,0)),"")</f>
        <v>Electronics</v>
      </c>
      <c r="G28" s="15">
        <f>IFERROR(INDEX('Raw Data'!$N$2:$N$251,MATCH(ROW()-19,$T$2:$T$251,0)),"")</f>
        <v>2699.97</v>
      </c>
      <c r="T28" t="str">
        <f>IF(AND('Raw Data'!G28=$B$17,'Raw Data'!K28=$E$17,'Raw Data'!N28&gt;=$B$18),SUMPRODUCT(('Raw Data'!$G$2:$G28=$B$17)*('Raw Data'!$K$2:$K28=$E$17)*('Raw Data'!$N$2:$N28&gt;=$B$18)),"")</f>
        <v/>
      </c>
    </row>
    <row r="29" spans="1:20" x14ac:dyDescent="0.3">
      <c r="A29" s="14" t="str">
        <f>IFERROR(INDEX('Raw Data'!$A$2:$A$251,MATCH(ROW()-19,$T$2:$T$251,0)),"")</f>
        <v>TRX0203</v>
      </c>
      <c r="B29" s="7">
        <f>IFERROR(INDEX('Raw Data'!$B$2:$B$251,MATCH(ROW()-19,$T$2:$T$251,0)),"")</f>
        <v>45572</v>
      </c>
      <c r="C29" s="14" t="str">
        <f>IFERROR(INDEX('Raw Data'!$D$2:$D$251,MATCH(ROW()-19,$T$2:$T$251,0)),"")</f>
        <v>Sandra Phillips</v>
      </c>
      <c r="D29" s="14" t="str">
        <f>IFERROR(INDEX('Raw Data'!$F$2:$F$251,MATCH(ROW()-19,$T$2:$T$251,0)),"")</f>
        <v>Headphones</v>
      </c>
      <c r="E29" s="14" t="str">
        <f>IFERROR(INDEX('Raw Data'!$K$2:$K$251,MATCH(ROW()-19,$T$2:$T$251,0)),"")</f>
        <v>North</v>
      </c>
      <c r="F29" s="14" t="str">
        <f>IFERROR(INDEX('Raw Data'!$G$2:$G$251,MATCH(ROW()-19,$T$2:$T$251,0)),"")</f>
        <v>Electronics</v>
      </c>
      <c r="G29" s="15">
        <f>IFERROR(INDEX('Raw Data'!$N$2:$N$251,MATCH(ROW()-19,$T$2:$T$251,0)),"")</f>
        <v>599.96</v>
      </c>
      <c r="T29" t="str">
        <f>IF(AND('Raw Data'!G29=$B$17,'Raw Data'!K29=$E$17,'Raw Data'!N29&gt;=$B$18),SUMPRODUCT(('Raw Data'!$G$2:$G29=$B$17)*('Raw Data'!$K$2:$K29=$E$17)*('Raw Data'!$N$2:$N29&gt;=$B$18)),"")</f>
        <v/>
      </c>
    </row>
    <row r="30" spans="1:20" x14ac:dyDescent="0.3">
      <c r="A30" s="14" t="str">
        <f>IFERROR(INDEX('Raw Data'!$A$2:$A$251,MATCH(ROW()-19,$T$2:$T$251,0)),"")</f>
        <v>TRX0167</v>
      </c>
      <c r="B30" s="7">
        <f>IFERROR(INDEX('Raw Data'!$B$2:$B$251,MATCH(ROW()-19,$T$2:$T$251,0)),"")</f>
        <v>45589</v>
      </c>
      <c r="C30" s="14" t="str">
        <f>IFERROR(INDEX('Raw Data'!$D$2:$D$251,MATCH(ROW()-19,$T$2:$T$251,0)),"")</f>
        <v>Betty Campbell</v>
      </c>
      <c r="D30" s="14" t="str">
        <f>IFERROR(INDEX('Raw Data'!$F$2:$F$251,MATCH(ROW()-19,$T$2:$T$251,0)),"")</f>
        <v>Smartphone</v>
      </c>
      <c r="E30" s="14" t="str">
        <f>IFERROR(INDEX('Raw Data'!$K$2:$K$251,MATCH(ROW()-19,$T$2:$T$251,0)),"")</f>
        <v>North</v>
      </c>
      <c r="F30" s="14" t="str">
        <f>IFERROR(INDEX('Raw Data'!$G$2:$G$251,MATCH(ROW()-19,$T$2:$T$251,0)),"")</f>
        <v>Electronics</v>
      </c>
      <c r="G30" s="15">
        <f>IFERROR(INDEX('Raw Data'!$N$2:$N$251,MATCH(ROW()-19,$T$2:$T$251,0)),"")</f>
        <v>3499.95</v>
      </c>
      <c r="T30" t="str">
        <f>IF(AND('Raw Data'!G30=$B$17,'Raw Data'!K30=$E$17,'Raw Data'!N30&gt;=$B$18),SUMPRODUCT(('Raw Data'!$G$2:$G30=$B$17)*('Raw Data'!$K$2:$K30=$E$17)*('Raw Data'!$N$2:$N30&gt;=$B$18)),"")</f>
        <v/>
      </c>
    </row>
    <row r="31" spans="1:20" x14ac:dyDescent="0.3">
      <c r="A31" s="14" t="str">
        <f>IFERROR(INDEX('Raw Data'!$A$2:$A$251,MATCH(ROW()-19,$T$2:$T$251,0)),"")</f>
        <v>TRX0012</v>
      </c>
      <c r="B31" s="7">
        <f>IFERROR(INDEX('Raw Data'!$B$2:$B$251,MATCH(ROW()-19,$T$2:$T$251,0)),"")</f>
        <v>45622</v>
      </c>
      <c r="C31" s="14" t="str">
        <f>IFERROR(INDEX('Raw Data'!$D$2:$D$251,MATCH(ROW()-19,$T$2:$T$251,0)),"")</f>
        <v>Douglas Watson</v>
      </c>
      <c r="D31" s="14" t="str">
        <f>IFERROR(INDEX('Raw Data'!$F$2:$F$251,MATCH(ROW()-19,$T$2:$T$251,0)),"")</f>
        <v>Monitor</v>
      </c>
      <c r="E31" s="14" t="str">
        <f>IFERROR(INDEX('Raw Data'!$K$2:$K$251,MATCH(ROW()-19,$T$2:$T$251,0)),"")</f>
        <v>North</v>
      </c>
      <c r="F31" s="14" t="str">
        <f>IFERROR(INDEX('Raw Data'!$G$2:$G$251,MATCH(ROW()-19,$T$2:$T$251,0)),"")</f>
        <v>Electronics</v>
      </c>
      <c r="G31" s="15">
        <f>IFERROR(INDEX('Raw Data'!$N$2:$N$251,MATCH(ROW()-19,$T$2:$T$251,0)),"")</f>
        <v>1249.95</v>
      </c>
      <c r="T31" t="str">
        <f>IF(AND('Raw Data'!G31=$B$17,'Raw Data'!K31=$E$17,'Raw Data'!N31&gt;=$B$18),SUMPRODUCT(('Raw Data'!$G$2:$G31=$B$17)*('Raw Data'!$K$2:$K31=$E$17)*('Raw Data'!$N$2:$N31&gt;=$B$18)),"")</f>
        <v/>
      </c>
    </row>
    <row r="32" spans="1:20" x14ac:dyDescent="0.3">
      <c r="A32" s="14" t="str">
        <f>IFERROR(INDEX('Raw Data'!$A$2:$A$251,MATCH(ROW()-19,$T$2:$T$251,0)),"")</f>
        <v>TRX0066</v>
      </c>
      <c r="B32" s="7">
        <f>IFERROR(INDEX('Raw Data'!$B$2:$B$251,MATCH(ROW()-19,$T$2:$T$251,0)),"")</f>
        <v>45630</v>
      </c>
      <c r="C32" s="14" t="str">
        <f>IFERROR(INDEX('Raw Data'!$D$2:$D$251,MATCH(ROW()-19,$T$2:$T$251,0)),"")</f>
        <v>Dorothy Nelson</v>
      </c>
      <c r="D32" s="14" t="str">
        <f>IFERROR(INDEX('Raw Data'!$F$2:$F$251,MATCH(ROW()-19,$T$2:$T$251,0)),"")</f>
        <v>Smartphone</v>
      </c>
      <c r="E32" s="14" t="str">
        <f>IFERROR(INDEX('Raw Data'!$K$2:$K$251,MATCH(ROW()-19,$T$2:$T$251,0)),"")</f>
        <v>North</v>
      </c>
      <c r="F32" s="14" t="str">
        <f>IFERROR(INDEX('Raw Data'!$G$2:$G$251,MATCH(ROW()-19,$T$2:$T$251,0)),"")</f>
        <v>Electronics</v>
      </c>
      <c r="G32" s="15">
        <f>IFERROR(INDEX('Raw Data'!$N$2:$N$251,MATCH(ROW()-19,$T$2:$T$251,0)),"")</f>
        <v>2799.96</v>
      </c>
      <c r="T32" t="str">
        <f>IF(AND('Raw Data'!G32=$B$17,'Raw Data'!K32=$E$17,'Raw Data'!N32&gt;=$B$18),SUMPRODUCT(('Raw Data'!$G$2:$G32=$B$17)*('Raw Data'!$K$2:$K32=$E$17)*('Raw Data'!$N$2:$N32&gt;=$B$18)),"")</f>
        <v/>
      </c>
    </row>
    <row r="33" spans="1:21" x14ac:dyDescent="0.3">
      <c r="A33" s="14" t="str">
        <f>IFERROR(INDEX('Raw Data'!$A$2:$A$251,MATCH(ROW()-19,$T$2:$T$251,0)),"")</f>
        <v>TRX0032</v>
      </c>
      <c r="B33" s="7">
        <f>IFERROR(INDEX('Raw Data'!$B$2:$B$251,MATCH(ROW()-19,$T$2:$T$251,0)),"")</f>
        <v>45638</v>
      </c>
      <c r="C33" s="14" t="str">
        <f>IFERROR(INDEX('Raw Data'!$D$2:$D$251,MATCH(ROW()-19,$T$2:$T$251,0)),"")</f>
        <v>Peter Richardson</v>
      </c>
      <c r="D33" s="14" t="str">
        <f>IFERROR(INDEX('Raw Data'!$F$2:$F$251,MATCH(ROW()-19,$T$2:$T$251,0)),"")</f>
        <v>Laptop</v>
      </c>
      <c r="E33" s="14" t="str">
        <f>IFERROR(INDEX('Raw Data'!$K$2:$K$251,MATCH(ROW()-19,$T$2:$T$251,0)),"")</f>
        <v>North</v>
      </c>
      <c r="F33" s="14" t="str">
        <f>IFERROR(INDEX('Raw Data'!$G$2:$G$251,MATCH(ROW()-19,$T$2:$T$251,0)),"")</f>
        <v>Electronics</v>
      </c>
      <c r="G33" s="15">
        <f>IFERROR(INDEX('Raw Data'!$N$2:$N$251,MATCH(ROW()-19,$T$2:$T$251,0)),"")</f>
        <v>1799.98</v>
      </c>
      <c r="T33" t="str">
        <f>IF(AND('Raw Data'!G33=$B$17,'Raw Data'!K33=$E$17,'Raw Data'!N33&gt;=$B$18),SUMPRODUCT(('Raw Data'!$G$2:$G33=$B$17)*('Raw Data'!$K$2:$K33=$E$17)*('Raw Data'!$N$2:$N33&gt;=$B$18)),"")</f>
        <v/>
      </c>
    </row>
    <row r="34" spans="1:21" x14ac:dyDescent="0.3">
      <c r="A34" s="14" t="str">
        <f>IFERROR(INDEX('Raw Data'!$A$2:$A$251,MATCH(ROW()-19,$T$2:$T$251,0)),"")</f>
        <v>TRX0207</v>
      </c>
      <c r="B34" s="7">
        <f>IFERROR(INDEX('Raw Data'!$B$2:$B$251,MATCH(ROW()-19,$T$2:$T$251,0)),"")</f>
        <v>45657</v>
      </c>
      <c r="C34" s="14" t="str">
        <f>IFERROR(INDEX('Raw Data'!$D$2:$D$251,MATCH(ROW()-19,$T$2:$T$251,0)),"")</f>
        <v>Mark Carter</v>
      </c>
      <c r="D34" s="14" t="str">
        <f>IFERROR(INDEX('Raw Data'!$F$2:$F$251,MATCH(ROW()-19,$T$2:$T$251,0)),"")</f>
        <v>Laptop</v>
      </c>
      <c r="E34" s="14" t="str">
        <f>IFERROR(INDEX('Raw Data'!$K$2:$K$251,MATCH(ROW()-19,$T$2:$T$251,0)),"")</f>
        <v>North</v>
      </c>
      <c r="F34" s="14" t="str">
        <f>IFERROR(INDEX('Raw Data'!$G$2:$G$251,MATCH(ROW()-19,$T$2:$T$251,0)),"")</f>
        <v>Electronics</v>
      </c>
      <c r="G34" s="15">
        <f>IFERROR(INDEX('Raw Data'!$N$2:$N$251,MATCH(ROW()-19,$T$2:$T$251,0)),"")</f>
        <v>899.99</v>
      </c>
      <c r="T34" t="str">
        <f>IF(AND('Raw Data'!G34=$B$17,'Raw Data'!K34=$E$17,'Raw Data'!N34&gt;=$B$18),SUMPRODUCT(('Raw Data'!$G$2:$G34=$B$17)*('Raw Data'!$K$2:$K34=$E$17)*('Raw Data'!$N$2:$N34&gt;=$B$18)),"")</f>
        <v/>
      </c>
    </row>
    <row r="35" spans="1:21" x14ac:dyDescent="0.3">
      <c r="A35" s="14" t="str">
        <f>IFERROR(INDEX('Raw Data'!$A$2:$A$251,MATCH(ROW()-19,$T$2:$T$251,0)),"")</f>
        <v>TRX0026</v>
      </c>
      <c r="B35" s="7">
        <f>IFERROR(INDEX('Raw Data'!$B$2:$B$251,MATCH(ROW()-19,$T$2:$T$251,0)),"")</f>
        <v>45661</v>
      </c>
      <c r="C35" s="14" t="str">
        <f>IFERROR(INDEX('Raw Data'!$D$2:$D$251,MATCH(ROW()-19,$T$2:$T$251,0)),"")</f>
        <v>Arthur Edwards</v>
      </c>
      <c r="D35" s="14" t="str">
        <f>IFERROR(INDEX('Raw Data'!$F$2:$F$251,MATCH(ROW()-19,$T$2:$T$251,0)),"")</f>
        <v>Laptop</v>
      </c>
      <c r="E35" s="14" t="str">
        <f>IFERROR(INDEX('Raw Data'!$K$2:$K$251,MATCH(ROW()-19,$T$2:$T$251,0)),"")</f>
        <v>North</v>
      </c>
      <c r="F35" s="14" t="str">
        <f>IFERROR(INDEX('Raw Data'!$G$2:$G$251,MATCH(ROW()-19,$T$2:$T$251,0)),"")</f>
        <v>Electronics</v>
      </c>
      <c r="G35" s="15">
        <f>IFERROR(INDEX('Raw Data'!$N$2:$N$251,MATCH(ROW()-19,$T$2:$T$251,0)),"")</f>
        <v>899.99</v>
      </c>
      <c r="T35" t="str">
        <f>IF(AND('Raw Data'!G35=$B$17,'Raw Data'!K35=$E$17,'Raw Data'!N35&gt;=$B$18),SUMPRODUCT(('Raw Data'!$G$2:$G35=$B$17)*('Raw Data'!$K$2:$K35=$E$17)*('Raw Data'!$N$2:$N35&gt;=$B$18)),"")</f>
        <v/>
      </c>
    </row>
    <row r="36" spans="1:21" x14ac:dyDescent="0.3">
      <c r="A36" s="14" t="str">
        <f>IFERROR(INDEX('Raw Data'!$A$2:$A$251,MATCH(ROW()-19,$T$2:$T$251,0)),"")</f>
        <v>TRX0238</v>
      </c>
      <c r="B36" s="7">
        <f>IFERROR(INDEX('Raw Data'!$B$2:$B$251,MATCH(ROW()-19,$T$2:$T$251,0)),"")</f>
        <v>45668</v>
      </c>
      <c r="C36" s="14" t="str">
        <f>IFERROR(INDEX('Raw Data'!$D$2:$D$251,MATCH(ROW()-19,$T$2:$T$251,0)),"")</f>
        <v>Michelle Rogers</v>
      </c>
      <c r="D36" s="14" t="str">
        <f>IFERROR(INDEX('Raw Data'!$F$2:$F$251,MATCH(ROW()-19,$T$2:$T$251,0)),"")</f>
        <v>Smartphone</v>
      </c>
      <c r="E36" s="14" t="str">
        <f>IFERROR(INDEX('Raw Data'!$K$2:$K$251,MATCH(ROW()-19,$T$2:$T$251,0)),"")</f>
        <v>North</v>
      </c>
      <c r="F36" s="14" t="str">
        <f>IFERROR(INDEX('Raw Data'!$G$2:$G$251,MATCH(ROW()-19,$T$2:$T$251,0)),"")</f>
        <v>Electronics</v>
      </c>
      <c r="G36" s="15">
        <f>IFERROR(INDEX('Raw Data'!$N$2:$N$251,MATCH(ROW()-19,$T$2:$T$251,0)),"")</f>
        <v>2099.9699999999998</v>
      </c>
      <c r="T36" t="str">
        <f>IF(AND('Raw Data'!G36=$B$17,'Raw Data'!K36=$E$17,'Raw Data'!N36&gt;=$B$18),SUMPRODUCT(('Raw Data'!$G$2:$G36=$B$17)*('Raw Data'!$K$2:$K36=$E$17)*('Raw Data'!$N$2:$N36&gt;=$B$18)),"")</f>
        <v/>
      </c>
    </row>
    <row r="37" spans="1:21" x14ac:dyDescent="0.3">
      <c r="A37" s="14" t="str">
        <f>IFERROR(INDEX('Raw Data'!$A$2:$A$251,MATCH(ROW()-19,$T$2:$T$251,0)),"")</f>
        <v>TRX0087</v>
      </c>
      <c r="B37" s="7">
        <f>IFERROR(INDEX('Raw Data'!$B$2:$B$251,MATCH(ROW()-19,$T$2:$T$251,0)),"")</f>
        <v>45671</v>
      </c>
      <c r="C37" s="14" t="str">
        <f>IFERROR(INDEX('Raw Data'!$D$2:$D$251,MATCH(ROW()-19,$T$2:$T$251,0)),"")</f>
        <v>Betty Campbell</v>
      </c>
      <c r="D37" s="14" t="str">
        <f>IFERROR(INDEX('Raw Data'!$F$2:$F$251,MATCH(ROW()-19,$T$2:$T$251,0)),"")</f>
        <v>Monitor</v>
      </c>
      <c r="E37" s="14" t="str">
        <f>IFERROR(INDEX('Raw Data'!$K$2:$K$251,MATCH(ROW()-19,$T$2:$T$251,0)),"")</f>
        <v>North</v>
      </c>
      <c r="F37" s="14" t="str">
        <f>IFERROR(INDEX('Raw Data'!$G$2:$G$251,MATCH(ROW()-19,$T$2:$T$251,0)),"")</f>
        <v>Electronics</v>
      </c>
      <c r="G37" s="15">
        <f>IFERROR(INDEX('Raw Data'!$N$2:$N$251,MATCH(ROW()-19,$T$2:$T$251,0)),"")</f>
        <v>999.96</v>
      </c>
      <c r="T37" t="str">
        <f>IF(AND('Raw Data'!G37=$B$17,'Raw Data'!K37=$E$17,'Raw Data'!N37&gt;=$B$18),SUMPRODUCT(('Raw Data'!$G$2:$G37=$B$17)*('Raw Data'!$K$2:$K37=$E$17)*('Raw Data'!$N$2:$N37&gt;=$B$18)),"")</f>
        <v/>
      </c>
    </row>
    <row r="38" spans="1:21" x14ac:dyDescent="0.3">
      <c r="A38" s="14" t="str">
        <f>IFERROR(INDEX('Raw Data'!$A$2:$A$251,MATCH(ROW()-19,$T$2:$T$251,0)),"")</f>
        <v>TRX0047</v>
      </c>
      <c r="B38" s="7">
        <f>IFERROR(INDEX('Raw Data'!$B$2:$B$251,MATCH(ROW()-19,$T$2:$T$251,0)),"")</f>
        <v>45711</v>
      </c>
      <c r="C38" s="14" t="str">
        <f>IFERROR(INDEX('Raw Data'!$D$2:$D$251,MATCH(ROW()-19,$T$2:$T$251,0)),"")</f>
        <v>Ruth Brooks</v>
      </c>
      <c r="D38" s="14" t="str">
        <f>IFERROR(INDEX('Raw Data'!$F$2:$F$251,MATCH(ROW()-19,$T$2:$T$251,0)),"")</f>
        <v>Smartphone</v>
      </c>
      <c r="E38" s="14" t="str">
        <f>IFERROR(INDEX('Raw Data'!$K$2:$K$251,MATCH(ROW()-19,$T$2:$T$251,0)),"")</f>
        <v>North</v>
      </c>
      <c r="F38" s="14" t="str">
        <f>IFERROR(INDEX('Raw Data'!$G$2:$G$251,MATCH(ROW()-19,$T$2:$T$251,0)),"")</f>
        <v>Electronics</v>
      </c>
      <c r="G38" s="15">
        <f>IFERROR(INDEX('Raw Data'!$N$2:$N$251,MATCH(ROW()-19,$T$2:$T$251,0)),"")</f>
        <v>699.99</v>
      </c>
      <c r="T38" t="str">
        <f>IF(AND('Raw Data'!G38=$B$17,'Raw Data'!K38=$E$17,'Raw Data'!N38&gt;=$B$18),SUMPRODUCT(('Raw Data'!$G$2:$G38=$B$17)*('Raw Data'!$K$2:$K38=$E$17)*('Raw Data'!$N$2:$N38&gt;=$B$18)),"")</f>
        <v/>
      </c>
    </row>
    <row r="39" spans="1:21" x14ac:dyDescent="0.3">
      <c r="A39" s="14" t="str">
        <f>IFERROR(INDEX('Raw Data'!$A$2:$A$251,MATCH(ROW()-19,$T$2:$T$251,0)),"")</f>
        <v>TRX0124</v>
      </c>
      <c r="B39" s="7">
        <f>IFERROR(INDEX('Raw Data'!$B$2:$B$251,MATCH(ROW()-19,$T$2:$T$251,0)),"")</f>
        <v>45737</v>
      </c>
      <c r="C39" s="14" t="str">
        <f>IFERROR(INDEX('Raw Data'!$D$2:$D$251,MATCH(ROW()-19,$T$2:$T$251,0)),"")</f>
        <v>Sharon Butler</v>
      </c>
      <c r="D39" s="14" t="str">
        <f>IFERROR(INDEX('Raw Data'!$F$2:$F$251,MATCH(ROW()-19,$T$2:$T$251,0)),"")</f>
        <v>Laptop</v>
      </c>
      <c r="E39" s="14" t="str">
        <f>IFERROR(INDEX('Raw Data'!$K$2:$K$251,MATCH(ROW()-19,$T$2:$T$251,0)),"")</f>
        <v>North</v>
      </c>
      <c r="F39" s="14" t="str">
        <f>IFERROR(INDEX('Raw Data'!$G$2:$G$251,MATCH(ROW()-19,$T$2:$T$251,0)),"")</f>
        <v>Electronics</v>
      </c>
      <c r="G39" s="15">
        <f>IFERROR(INDEX('Raw Data'!$N$2:$N$251,MATCH(ROW()-19,$T$2:$T$251,0)),"")</f>
        <v>2699.97</v>
      </c>
      <c r="T39" t="str">
        <f>IF(AND('Raw Data'!G39=$B$17,'Raw Data'!K39=$E$17,'Raw Data'!N39&gt;=$B$18),SUMPRODUCT(('Raw Data'!$G$2:$G39=$B$17)*('Raw Data'!$K$2:$K39=$E$17)*('Raw Data'!$N$2:$N39&gt;=$B$18)),"")</f>
        <v/>
      </c>
    </row>
    <row r="40" spans="1:21" x14ac:dyDescent="0.3">
      <c r="T40" t="str">
        <f>IF(AND('Raw Data'!G40=$B$17,'Raw Data'!K40=$E$17,'Raw Data'!N40&gt;=$B$18),SUMPRODUCT(('Raw Data'!$G$2:$G40=$B$17)*('Raw Data'!$K$2:$K40=$E$17)*('Raw Data'!$N$2:$N40&gt;=$B$18)),"")</f>
        <v/>
      </c>
    </row>
    <row r="41" spans="1:21" x14ac:dyDescent="0.3">
      <c r="A41" s="5" t="s">
        <v>417</v>
      </c>
      <c r="B41" s="1">
        <f>COUNT($T$2:$T$251)</f>
        <v>23</v>
      </c>
      <c r="T41" t="str">
        <f>IF(AND('Raw Data'!G41=$B$17,'Raw Data'!K41=$E$17,'Raw Data'!N41&gt;=$B$18),SUMPRODUCT(('Raw Data'!$G$2:$G41=$B$17)*('Raw Data'!$K$2:$K41=$E$17)*('Raw Data'!$N$2:$N41&gt;=$B$18)),"")</f>
        <v/>
      </c>
    </row>
    <row r="42" spans="1:21" x14ac:dyDescent="0.3">
      <c r="T42" t="str">
        <f>IF(AND('Raw Data'!G42=$B$17,'Raw Data'!K42=$E$17,'Raw Data'!N42&gt;=$B$18),SUMPRODUCT(('Raw Data'!$G$2:$G42=$B$17)*('Raw Data'!$K$2:$K42=$E$17)*('Raw Data'!$N$2:$N42&gt;=$B$18)),"")</f>
        <v/>
      </c>
    </row>
    <row r="43" spans="1:21" x14ac:dyDescent="0.3">
      <c r="T43" t="str">
        <f>IF(AND('Raw Data'!G43=$B$17,'Raw Data'!K43=$E$17,'Raw Data'!N43&gt;=$B$18),SUMPRODUCT(('Raw Data'!$G$2:$G43=$B$17)*('Raw Data'!$K$2:$K43=$E$17)*('Raw Data'!$N$2:$N43&gt;=$B$18)),"")</f>
        <v/>
      </c>
    </row>
    <row r="44" spans="1:21" ht="19.5" customHeight="1" x14ac:dyDescent="0.3">
      <c r="A44" s="36" t="s">
        <v>418</v>
      </c>
      <c r="B44" s="36"/>
      <c r="C44" s="36"/>
      <c r="D44" s="36"/>
      <c r="E44" s="36"/>
      <c r="F44" s="36"/>
      <c r="G44" s="36"/>
      <c r="H44" s="36"/>
      <c r="I44" s="36"/>
      <c r="T44" t="str">
        <f>IF(AND('Raw Data'!G44=$B$17,'Raw Data'!K44=$E$17,'Raw Data'!N44&gt;=$B$18),SUMPRODUCT(('Raw Data'!$G$2:$G44=$B$17)*('Raw Data'!$K$2:$K44=$E$17)*('Raw Data'!$N$2:$N44&gt;=$B$18)),"")</f>
        <v/>
      </c>
    </row>
    <row r="45" spans="1:21" x14ac:dyDescent="0.3">
      <c r="A45" s="13" t="s">
        <v>2</v>
      </c>
      <c r="B45" s="13" t="s">
        <v>3</v>
      </c>
      <c r="C45" s="13" t="s">
        <v>419</v>
      </c>
      <c r="D45" s="13" t="s">
        <v>420</v>
      </c>
      <c r="E45" s="13" t="s">
        <v>421</v>
      </c>
      <c r="F45" s="13" t="s">
        <v>422</v>
      </c>
      <c r="G45" s="13" t="s">
        <v>423</v>
      </c>
      <c r="H45" s="13" t="s">
        <v>424</v>
      </c>
      <c r="T45" t="str">
        <f>IF(AND('Raw Data'!G45=$B$17,'Raw Data'!K45=$E$17,'Raw Data'!N45&gt;=$B$18),SUMPRODUCT(('Raw Data'!$G$2:$G45=$B$17)*('Raw Data'!$K$2:$K45=$E$17)*('Raw Data'!$N$2:$N45&gt;=$B$18)),"")</f>
        <v/>
      </c>
      <c r="U45" s="2" t="s">
        <v>425</v>
      </c>
    </row>
    <row r="46" spans="1:21" x14ac:dyDescent="0.3">
      <c r="A46" s="14" t="s">
        <v>386</v>
      </c>
      <c r="B46" s="14" t="s">
        <v>387</v>
      </c>
      <c r="C46" s="14" t="str">
        <f>INDEX('Raw Data'!$L$2:$L$251,MATCH(A46,'Raw Data'!$C$2:$C$251,0))</f>
        <v>Standard</v>
      </c>
      <c r="D46" s="14">
        <f>COUNTIFS('Raw Data'!$C$2:$C$251,A46)</f>
        <v>1</v>
      </c>
      <c r="E46" s="15">
        <f>SUMIFS('Raw Data'!$N$2:$N$251,'Raw Data'!$C$2:$C$251,A46)</f>
        <v>599.96</v>
      </c>
      <c r="F46" s="15">
        <f t="shared" ref="F46:F77" si="0">IFERROR(E46/D46,0)</f>
        <v>599.96</v>
      </c>
      <c r="G46" s="14">
        <f t="shared" ref="G46:G77" si="1">RANK(E46,$E$46:$E$95)</f>
        <v>47</v>
      </c>
      <c r="H46" s="16" t="str">
        <f t="shared" ref="H46:H77" si="2">IF(G46&lt;=10,"⭐ Top 10","")</f>
        <v/>
      </c>
      <c r="T46" t="str">
        <f>IF(AND('Raw Data'!G46=$B$17,'Raw Data'!K46=$E$17,'Raw Data'!N46&gt;=$B$18),SUMPRODUCT(('Raw Data'!$G$2:$G46=$B$17)*('Raw Data'!$K$2:$K46=$E$17)*('Raw Data'!$N$2:$N46&gt;=$B$18)),"")</f>
        <v/>
      </c>
      <c r="U46" t="str">
        <f>IF($C46="Premium",SUMPRODUCT(($C$46:$C46="Premium")*1),"")</f>
        <v/>
      </c>
    </row>
    <row r="47" spans="1:21" x14ac:dyDescent="0.3">
      <c r="A47" s="14" t="s">
        <v>132</v>
      </c>
      <c r="B47" s="14" t="s">
        <v>133</v>
      </c>
      <c r="C47" s="14" t="str">
        <f>INDEX('Raw Data'!$L$2:$L$251,MATCH(A47,'Raw Data'!$C$2:$C$251,0))</f>
        <v>Premium</v>
      </c>
      <c r="D47" s="14">
        <f>COUNTIFS('Raw Data'!$C$2:$C$251,A47)</f>
        <v>5</v>
      </c>
      <c r="E47" s="15">
        <f>SUMIFS('Raw Data'!$N$2:$N$251,'Raw Data'!$C$2:$C$251,A47)</f>
        <v>1229.8800000000001</v>
      </c>
      <c r="F47" s="15">
        <f t="shared" si="0"/>
        <v>245.97600000000003</v>
      </c>
      <c r="G47" s="14">
        <f t="shared" si="1"/>
        <v>44</v>
      </c>
      <c r="H47" s="16" t="str">
        <f t="shared" si="2"/>
        <v/>
      </c>
      <c r="T47" t="str">
        <f>IF(AND('Raw Data'!G47=$B$17,'Raw Data'!K47=$E$17,'Raw Data'!N47&gt;=$B$18),SUMPRODUCT(('Raw Data'!$G$2:$G47=$B$17)*('Raw Data'!$K$2:$K47=$E$17)*('Raw Data'!$N$2:$N47&gt;=$B$18)),"")</f>
        <v/>
      </c>
      <c r="U47">
        <f>IF($C47="Premium",SUMPRODUCT(($C$46:$C47="Premium")*1),"")</f>
        <v>1</v>
      </c>
    </row>
    <row r="48" spans="1:21" x14ac:dyDescent="0.3">
      <c r="A48" s="14" t="s">
        <v>42</v>
      </c>
      <c r="B48" s="14" t="s">
        <v>43</v>
      </c>
      <c r="C48" s="14" t="str">
        <f>INDEX('Raw Data'!$L$2:$L$251,MATCH(A48,'Raw Data'!$C$2:$C$251,0))</f>
        <v>Premium</v>
      </c>
      <c r="D48" s="14">
        <f>COUNTIFS('Raw Data'!$C$2:$C$251,A48)</f>
        <v>9</v>
      </c>
      <c r="E48" s="15">
        <f>SUMIFS('Raw Data'!$N$2:$N$251,'Raw Data'!$C$2:$C$251,A48)</f>
        <v>6169.7400000000007</v>
      </c>
      <c r="F48" s="15">
        <f t="shared" si="0"/>
        <v>685.52666666666676</v>
      </c>
      <c r="G48" s="14">
        <f t="shared" si="1"/>
        <v>14</v>
      </c>
      <c r="H48" s="16" t="str">
        <f t="shared" si="2"/>
        <v/>
      </c>
      <c r="T48" t="str">
        <f>IF(AND('Raw Data'!G48=$B$17,'Raw Data'!K48=$E$17,'Raw Data'!N48&gt;=$B$18),SUMPRODUCT(('Raw Data'!$G$2:$G48=$B$17)*('Raw Data'!$K$2:$K48=$E$17)*('Raw Data'!$N$2:$N48&gt;=$B$18)),"")</f>
        <v/>
      </c>
      <c r="U48">
        <f>IF($C48="Premium",SUMPRODUCT(($C$46:$C48="Premium")*1),"")</f>
        <v>2</v>
      </c>
    </row>
    <row r="49" spans="1:21" x14ac:dyDescent="0.3">
      <c r="A49" s="14" t="s">
        <v>154</v>
      </c>
      <c r="B49" s="14" t="s">
        <v>155</v>
      </c>
      <c r="C49" s="14" t="str">
        <f>INDEX('Raw Data'!$L$2:$L$251,MATCH(A49,'Raw Data'!$C$2:$C$251,0))</f>
        <v>Standard</v>
      </c>
      <c r="D49" s="14">
        <f>COUNTIFS('Raw Data'!$C$2:$C$251,A49)</f>
        <v>5</v>
      </c>
      <c r="E49" s="15">
        <f>SUMIFS('Raw Data'!$N$2:$N$251,'Raw Data'!$C$2:$C$251,A49)</f>
        <v>5499.8099999999995</v>
      </c>
      <c r="F49" s="15">
        <f t="shared" si="0"/>
        <v>1099.962</v>
      </c>
      <c r="G49" s="14">
        <f t="shared" si="1"/>
        <v>19</v>
      </c>
      <c r="H49" s="16" t="str">
        <f t="shared" si="2"/>
        <v/>
      </c>
      <c r="T49" t="str">
        <f>IF(AND('Raw Data'!G49=$B$17,'Raw Data'!K49=$E$17,'Raw Data'!N49&gt;=$B$18),SUMPRODUCT(('Raw Data'!$G$2:$G49=$B$17)*('Raw Data'!$K$2:$K49=$E$17)*('Raw Data'!$N$2:$N49&gt;=$B$18)),"")</f>
        <v/>
      </c>
      <c r="U49" t="str">
        <f>IF($C49="Premium",SUMPRODUCT(($C$46:$C49="Premium")*1),"")</f>
        <v/>
      </c>
    </row>
    <row r="50" spans="1:21" x14ac:dyDescent="0.3">
      <c r="A50" s="14" t="s">
        <v>304</v>
      </c>
      <c r="B50" s="14" t="s">
        <v>305</v>
      </c>
      <c r="C50" s="14" t="str">
        <f>INDEX('Raw Data'!$L$2:$L$251,MATCH(A50,'Raw Data'!$C$2:$C$251,0))</f>
        <v>Premium</v>
      </c>
      <c r="D50" s="14">
        <f>COUNTIFS('Raw Data'!$C$2:$C$251,A50)</f>
        <v>1</v>
      </c>
      <c r="E50" s="15">
        <f>SUMIFS('Raw Data'!$N$2:$N$251,'Raw Data'!$C$2:$C$251,A50)</f>
        <v>179.97</v>
      </c>
      <c r="F50" s="15">
        <f t="shared" si="0"/>
        <v>179.97</v>
      </c>
      <c r="G50" s="14">
        <f t="shared" si="1"/>
        <v>50</v>
      </c>
      <c r="H50" s="16" t="str">
        <f t="shared" si="2"/>
        <v/>
      </c>
      <c r="T50" t="str">
        <f>IF(AND('Raw Data'!G50=$B$17,'Raw Data'!K50=$E$17,'Raw Data'!N50&gt;=$B$18),SUMPRODUCT(('Raw Data'!$G$2:$G50=$B$17)*('Raw Data'!$K$2:$K50=$E$17)*('Raw Data'!$N$2:$N50&gt;=$B$18)),"")</f>
        <v/>
      </c>
      <c r="U50">
        <f>IF($C50="Premium",SUMPRODUCT(($C$46:$C50="Premium")*1),"")</f>
        <v>3</v>
      </c>
    </row>
    <row r="51" spans="1:21" x14ac:dyDescent="0.3">
      <c r="A51" s="14" t="s">
        <v>129</v>
      </c>
      <c r="B51" s="14" t="s">
        <v>130</v>
      </c>
      <c r="C51" s="14" t="str">
        <f>INDEX('Raw Data'!$L$2:$L$251,MATCH(A51,'Raw Data'!$C$2:$C$251,0))</f>
        <v>Basic</v>
      </c>
      <c r="D51" s="14">
        <f>COUNTIFS('Raw Data'!$C$2:$C$251,A51)</f>
        <v>5</v>
      </c>
      <c r="E51" s="15">
        <f>SUMIFS('Raw Data'!$N$2:$N$251,'Raw Data'!$C$2:$C$251,A51)</f>
        <v>2039.8000000000002</v>
      </c>
      <c r="F51" s="15">
        <f t="shared" si="0"/>
        <v>407.96000000000004</v>
      </c>
      <c r="G51" s="14">
        <f t="shared" si="1"/>
        <v>36</v>
      </c>
      <c r="H51" s="16" t="str">
        <f t="shared" si="2"/>
        <v/>
      </c>
      <c r="T51" t="str">
        <f>IF(AND('Raw Data'!G51=$B$17,'Raw Data'!K51=$E$17,'Raw Data'!N51&gt;=$B$18),SUMPRODUCT(('Raw Data'!$G$2:$G51=$B$17)*('Raw Data'!$K$2:$K51=$E$17)*('Raw Data'!$N$2:$N51&gt;=$B$18)),"")</f>
        <v/>
      </c>
      <c r="U51" t="str">
        <f>IF($C51="Premium",SUMPRODUCT(($C$46:$C51="Premium")*1),"")</f>
        <v/>
      </c>
    </row>
    <row r="52" spans="1:21" x14ac:dyDescent="0.3">
      <c r="A52" s="14" t="s">
        <v>182</v>
      </c>
      <c r="B52" s="14" t="s">
        <v>183</v>
      </c>
      <c r="C52" s="14" t="str">
        <f>INDEX('Raw Data'!$L$2:$L$251,MATCH(A52,'Raw Data'!$C$2:$C$251,0))</f>
        <v>Basic</v>
      </c>
      <c r="D52" s="14">
        <f>COUNTIFS('Raw Data'!$C$2:$C$251,A52)</f>
        <v>6</v>
      </c>
      <c r="E52" s="15">
        <f>SUMIFS('Raw Data'!$N$2:$N$251,'Raw Data'!$C$2:$C$251,A52)</f>
        <v>1809.84</v>
      </c>
      <c r="F52" s="15">
        <f t="shared" si="0"/>
        <v>301.64</v>
      </c>
      <c r="G52" s="14">
        <f t="shared" si="1"/>
        <v>39</v>
      </c>
      <c r="H52" s="16" t="str">
        <f t="shared" si="2"/>
        <v/>
      </c>
      <c r="T52" t="str">
        <f>IF(AND('Raw Data'!G52=$B$17,'Raw Data'!K52=$E$17,'Raw Data'!N52&gt;=$B$18),SUMPRODUCT(('Raw Data'!$G$2:$G52=$B$17)*('Raw Data'!$K$2:$K52=$E$17)*('Raw Data'!$N$2:$N52&gt;=$B$18)),"")</f>
        <v/>
      </c>
      <c r="U52" t="str">
        <f>IF($C52="Premium",SUMPRODUCT(($C$46:$C52="Premium")*1),"")</f>
        <v/>
      </c>
    </row>
    <row r="53" spans="1:21" x14ac:dyDescent="0.3">
      <c r="A53" s="14" t="s">
        <v>141</v>
      </c>
      <c r="B53" s="14" t="s">
        <v>142</v>
      </c>
      <c r="C53" s="14" t="str">
        <f>INDEX('Raw Data'!$L$2:$L$251,MATCH(A53,'Raw Data'!$C$2:$C$251,0))</f>
        <v>Standard</v>
      </c>
      <c r="D53" s="14">
        <f>COUNTIFS('Raw Data'!$C$2:$C$251,A53)</f>
        <v>4</v>
      </c>
      <c r="E53" s="15">
        <f>SUMIFS('Raw Data'!$N$2:$N$251,'Raw Data'!$C$2:$C$251,A53)</f>
        <v>4739.8500000000004</v>
      </c>
      <c r="F53" s="15">
        <f t="shared" si="0"/>
        <v>1184.9625000000001</v>
      </c>
      <c r="G53" s="14">
        <f t="shared" si="1"/>
        <v>24</v>
      </c>
      <c r="H53" s="16" t="str">
        <f t="shared" si="2"/>
        <v/>
      </c>
      <c r="T53" t="str">
        <f>IF(AND('Raw Data'!G53=$B$17,'Raw Data'!K53=$E$17,'Raw Data'!N53&gt;=$B$18),SUMPRODUCT(('Raw Data'!$G$2:$G53=$B$17)*('Raw Data'!$K$2:$K53=$E$17)*('Raw Data'!$N$2:$N53&gt;=$B$18)),"")</f>
        <v/>
      </c>
      <c r="U53" t="str">
        <f>IF($C53="Premium",SUMPRODUCT(($C$46:$C53="Premium")*1),"")</f>
        <v/>
      </c>
    </row>
    <row r="54" spans="1:21" x14ac:dyDescent="0.3">
      <c r="A54" s="14" t="s">
        <v>59</v>
      </c>
      <c r="B54" s="14" t="s">
        <v>60</v>
      </c>
      <c r="C54" s="14" t="str">
        <f>INDEX('Raw Data'!$L$2:$L$251,MATCH(A54,'Raw Data'!$C$2:$C$251,0))</f>
        <v>Standard</v>
      </c>
      <c r="D54" s="14">
        <f>COUNTIFS('Raw Data'!$C$2:$C$251,A54)</f>
        <v>5</v>
      </c>
      <c r="E54" s="15">
        <f>SUMIFS('Raw Data'!$N$2:$N$251,'Raw Data'!$C$2:$C$251,A54)</f>
        <v>3509.8999999999996</v>
      </c>
      <c r="F54" s="15">
        <f t="shared" si="0"/>
        <v>701.9799999999999</v>
      </c>
      <c r="G54" s="14">
        <f t="shared" si="1"/>
        <v>32</v>
      </c>
      <c r="H54" s="16" t="str">
        <f t="shared" si="2"/>
        <v/>
      </c>
      <c r="T54" t="str">
        <f>IF(AND('Raw Data'!G54=$B$17,'Raw Data'!K54=$E$17,'Raw Data'!N54&gt;=$B$18),SUMPRODUCT(('Raw Data'!$G$2:$G54=$B$17)*('Raw Data'!$K$2:$K54=$E$17)*('Raw Data'!$N$2:$N54&gt;=$B$18)),"")</f>
        <v/>
      </c>
      <c r="U54" t="str">
        <f>IF($C54="Premium",SUMPRODUCT(($C$46:$C54="Premium")*1),"")</f>
        <v/>
      </c>
    </row>
    <row r="55" spans="1:21" x14ac:dyDescent="0.3">
      <c r="A55" s="14" t="s">
        <v>89</v>
      </c>
      <c r="B55" s="14" t="s">
        <v>90</v>
      </c>
      <c r="C55" s="14" t="str">
        <f>INDEX('Raw Data'!$L$2:$L$251,MATCH(A55,'Raw Data'!$C$2:$C$251,0))</f>
        <v>Basic</v>
      </c>
      <c r="D55" s="14">
        <f>COUNTIFS('Raw Data'!$C$2:$C$251,A55)</f>
        <v>4</v>
      </c>
      <c r="E55" s="15">
        <f>SUMIFS('Raw Data'!$N$2:$N$251,'Raw Data'!$C$2:$C$251,A55)</f>
        <v>1909.93</v>
      </c>
      <c r="F55" s="15">
        <f t="shared" si="0"/>
        <v>477.48250000000002</v>
      </c>
      <c r="G55" s="14">
        <f t="shared" si="1"/>
        <v>38</v>
      </c>
      <c r="H55" s="16" t="str">
        <f t="shared" si="2"/>
        <v/>
      </c>
      <c r="T55" t="str">
        <f>IF(AND('Raw Data'!G55=$B$17,'Raw Data'!K55=$E$17,'Raw Data'!N55&gt;=$B$18),SUMPRODUCT(('Raw Data'!$G$2:$G55=$B$17)*('Raw Data'!$K$2:$K55=$E$17)*('Raw Data'!$N$2:$N55&gt;=$B$18)),"")</f>
        <v/>
      </c>
      <c r="U55" t="str">
        <f>IF($C55="Premium",SUMPRODUCT(($C$46:$C55="Premium")*1),"")</f>
        <v/>
      </c>
    </row>
    <row r="56" spans="1:21" x14ac:dyDescent="0.3">
      <c r="A56" s="14" t="s">
        <v>252</v>
      </c>
      <c r="B56" s="14" t="s">
        <v>253</v>
      </c>
      <c r="C56" s="14" t="str">
        <f>INDEX('Raw Data'!$L$2:$L$251,MATCH(A56,'Raw Data'!$C$2:$C$251,0))</f>
        <v>Standard</v>
      </c>
      <c r="D56" s="14">
        <f>COUNTIFS('Raw Data'!$C$2:$C$251,A56)</f>
        <v>3</v>
      </c>
      <c r="E56" s="15">
        <f>SUMIFS('Raw Data'!$N$2:$N$251,'Raw Data'!$C$2:$C$251,A56)</f>
        <v>4749.91</v>
      </c>
      <c r="F56" s="15">
        <f t="shared" si="0"/>
        <v>1583.3033333333333</v>
      </c>
      <c r="G56" s="14">
        <f t="shared" si="1"/>
        <v>23</v>
      </c>
      <c r="H56" s="16" t="str">
        <f t="shared" si="2"/>
        <v/>
      </c>
      <c r="T56" t="str">
        <f>IF(AND('Raw Data'!G56=$B$17,'Raw Data'!K56=$E$17,'Raw Data'!N56&gt;=$B$18),SUMPRODUCT(('Raw Data'!$G$2:$G56=$B$17)*('Raw Data'!$K$2:$K56=$E$17)*('Raw Data'!$N$2:$N56&gt;=$B$18)),"")</f>
        <v/>
      </c>
      <c r="U56" t="str">
        <f>IF($C56="Premium",SUMPRODUCT(($C$46:$C56="Premium")*1),"")</f>
        <v/>
      </c>
    </row>
    <row r="57" spans="1:21" x14ac:dyDescent="0.3">
      <c r="A57" s="14" t="s">
        <v>99</v>
      </c>
      <c r="B57" s="14" t="s">
        <v>100</v>
      </c>
      <c r="C57" s="14" t="str">
        <f>INDEX('Raw Data'!$L$2:$L$251,MATCH(A57,'Raw Data'!$C$2:$C$251,0))</f>
        <v>Standard</v>
      </c>
      <c r="D57" s="14">
        <f>COUNTIFS('Raw Data'!$C$2:$C$251,A57)</f>
        <v>8</v>
      </c>
      <c r="E57" s="15">
        <f>SUMIFS('Raw Data'!$N$2:$N$251,'Raw Data'!$C$2:$C$251,A57)</f>
        <v>9799.73</v>
      </c>
      <c r="F57" s="15">
        <f t="shared" si="0"/>
        <v>1224.9662499999999</v>
      </c>
      <c r="G57" s="14">
        <f t="shared" si="1"/>
        <v>4</v>
      </c>
      <c r="H57" s="16" t="str">
        <f t="shared" si="2"/>
        <v>⭐ Top 10</v>
      </c>
      <c r="T57" t="str">
        <f>IF(AND('Raw Data'!G57=$B$17,'Raw Data'!K57=$E$17,'Raw Data'!N57&gt;=$B$18),SUMPRODUCT(('Raw Data'!$G$2:$G57=$B$17)*('Raw Data'!$K$2:$K57=$E$17)*('Raw Data'!$N$2:$N57&gt;=$B$18)),"")</f>
        <v/>
      </c>
      <c r="U57" t="str">
        <f>IF($C57="Premium",SUMPRODUCT(($C$46:$C57="Premium")*1),"")</f>
        <v/>
      </c>
    </row>
    <row r="58" spans="1:21" x14ac:dyDescent="0.3">
      <c r="A58" s="14" t="s">
        <v>24</v>
      </c>
      <c r="B58" s="14" t="s">
        <v>25</v>
      </c>
      <c r="C58" s="14" t="str">
        <f>INDEX('Raw Data'!$L$2:$L$251,MATCH(A58,'Raw Data'!$C$2:$C$251,0))</f>
        <v>Premium</v>
      </c>
      <c r="D58" s="14">
        <f>COUNTIFS('Raw Data'!$C$2:$C$251,A58)</f>
        <v>5</v>
      </c>
      <c r="E58" s="15">
        <f>SUMIFS('Raw Data'!$N$2:$N$251,'Raw Data'!$C$2:$C$251,A58)</f>
        <v>6949.84</v>
      </c>
      <c r="F58" s="15">
        <f t="shared" si="0"/>
        <v>1389.9680000000001</v>
      </c>
      <c r="G58" s="14">
        <f t="shared" si="1"/>
        <v>10</v>
      </c>
      <c r="H58" s="16" t="str">
        <f t="shared" si="2"/>
        <v>⭐ Top 10</v>
      </c>
      <c r="T58" t="str">
        <f>IF(AND('Raw Data'!G58=$B$17,'Raw Data'!K58=$E$17,'Raw Data'!N58&gt;=$B$18),SUMPRODUCT(('Raw Data'!$G$2:$G58=$B$17)*('Raw Data'!$K$2:$K58=$E$17)*('Raw Data'!$N$2:$N58&gt;=$B$18)),"")</f>
        <v/>
      </c>
      <c r="U58">
        <f>IF($C58="Premium",SUMPRODUCT(($C$46:$C58="Premium")*1),"")</f>
        <v>4</v>
      </c>
    </row>
    <row r="59" spans="1:21" x14ac:dyDescent="0.3">
      <c r="A59" s="14" t="s">
        <v>112</v>
      </c>
      <c r="B59" s="14" t="s">
        <v>113</v>
      </c>
      <c r="C59" s="14" t="str">
        <f>INDEX('Raw Data'!$L$2:$L$251,MATCH(A59,'Raw Data'!$C$2:$C$251,0))</f>
        <v>Premium</v>
      </c>
      <c r="D59" s="14">
        <f>COUNTIFS('Raw Data'!$C$2:$C$251,A59)</f>
        <v>4</v>
      </c>
      <c r="E59" s="15">
        <f>SUMIFS('Raw Data'!$N$2:$N$251,'Raw Data'!$C$2:$C$251,A59)</f>
        <v>1289.9000000000001</v>
      </c>
      <c r="F59" s="15">
        <f t="shared" si="0"/>
        <v>322.47500000000002</v>
      </c>
      <c r="G59" s="14">
        <f t="shared" si="1"/>
        <v>43</v>
      </c>
      <c r="H59" s="16" t="str">
        <f t="shared" si="2"/>
        <v/>
      </c>
      <c r="T59" t="str">
        <f>IF(AND('Raw Data'!G59=$B$17,'Raw Data'!K59=$E$17,'Raw Data'!N59&gt;=$B$18),SUMPRODUCT(('Raw Data'!$G$2:$G59=$B$17)*('Raw Data'!$K$2:$K59=$E$17)*('Raw Data'!$N$2:$N59&gt;=$B$18)),"")</f>
        <v/>
      </c>
      <c r="U59">
        <f>IF($C59="Premium",SUMPRODUCT(($C$46:$C59="Premium")*1),"")</f>
        <v>5</v>
      </c>
    </row>
    <row r="60" spans="1:21" x14ac:dyDescent="0.3">
      <c r="A60" s="14" t="s">
        <v>259</v>
      </c>
      <c r="B60" s="14" t="s">
        <v>260</v>
      </c>
      <c r="C60" s="14" t="str">
        <f>INDEX('Raw Data'!$L$2:$L$251,MATCH(A60,'Raw Data'!$C$2:$C$251,0))</f>
        <v>Standard</v>
      </c>
      <c r="D60" s="14">
        <f>COUNTIFS('Raw Data'!$C$2:$C$251,A60)</f>
        <v>3</v>
      </c>
      <c r="E60" s="15">
        <f>SUMIFS('Raw Data'!$N$2:$N$251,'Raw Data'!$C$2:$C$251,A60)</f>
        <v>739.93000000000006</v>
      </c>
      <c r="F60" s="15">
        <f t="shared" si="0"/>
        <v>246.64333333333335</v>
      </c>
      <c r="G60" s="14">
        <f t="shared" si="1"/>
        <v>46</v>
      </c>
      <c r="H60" s="16" t="str">
        <f t="shared" si="2"/>
        <v/>
      </c>
      <c r="T60" t="str">
        <f>IF(AND('Raw Data'!G60=$B$17,'Raw Data'!K60=$E$17,'Raw Data'!N60&gt;=$B$18),SUMPRODUCT(('Raw Data'!$G$2:$G60=$B$17)*('Raw Data'!$K$2:$K60=$E$17)*('Raw Data'!$N$2:$N60&gt;=$B$18)),"")</f>
        <v/>
      </c>
      <c r="U60" t="str">
        <f>IF($C60="Premium",SUMPRODUCT(($C$46:$C60="Premium")*1),"")</f>
        <v/>
      </c>
    </row>
    <row r="61" spans="1:21" x14ac:dyDescent="0.3">
      <c r="A61" s="14" t="s">
        <v>211</v>
      </c>
      <c r="B61" s="14" t="s">
        <v>212</v>
      </c>
      <c r="C61" s="14" t="str">
        <f>INDEX('Raw Data'!$L$2:$L$251,MATCH(A61,'Raw Data'!$C$2:$C$251,0))</f>
        <v>Basic</v>
      </c>
      <c r="D61" s="14">
        <f>COUNTIFS('Raw Data'!$C$2:$C$251,A61)</f>
        <v>4</v>
      </c>
      <c r="E61" s="15">
        <f>SUMIFS('Raw Data'!$N$2:$N$251,'Raw Data'!$C$2:$C$251,A61)</f>
        <v>3649.8599999999997</v>
      </c>
      <c r="F61" s="15">
        <f t="shared" si="0"/>
        <v>912.46499999999992</v>
      </c>
      <c r="G61" s="14">
        <f t="shared" si="1"/>
        <v>31</v>
      </c>
      <c r="H61" s="16" t="str">
        <f t="shared" si="2"/>
        <v/>
      </c>
      <c r="T61" t="str">
        <f>IF(AND('Raw Data'!G61=$B$17,'Raw Data'!K61=$E$17,'Raw Data'!N61&gt;=$B$18),SUMPRODUCT(('Raw Data'!$G$2:$G61=$B$17)*('Raw Data'!$K$2:$K61=$E$17)*('Raw Data'!$N$2:$N61&gt;=$B$18)),"")</f>
        <v/>
      </c>
      <c r="U61" t="str">
        <f>IF($C61="Premium",SUMPRODUCT(($C$46:$C61="Premium")*1),"")</f>
        <v/>
      </c>
    </row>
    <row r="62" spans="1:21" x14ac:dyDescent="0.3">
      <c r="A62" s="14" t="s">
        <v>55</v>
      </c>
      <c r="B62" s="14" t="s">
        <v>56</v>
      </c>
      <c r="C62" s="14" t="str">
        <f>INDEX('Raw Data'!$L$2:$L$251,MATCH(A62,'Raw Data'!$C$2:$C$251,0))</f>
        <v>Basic</v>
      </c>
      <c r="D62" s="14">
        <f>COUNTIFS('Raw Data'!$C$2:$C$251,A62)</f>
        <v>9</v>
      </c>
      <c r="E62" s="15">
        <f>SUMIFS('Raw Data'!$N$2:$N$251,'Raw Data'!$C$2:$C$251,A62)</f>
        <v>5089.7300000000005</v>
      </c>
      <c r="F62" s="15">
        <f t="shared" si="0"/>
        <v>565.52555555555557</v>
      </c>
      <c r="G62" s="14">
        <f t="shared" si="1"/>
        <v>20</v>
      </c>
      <c r="H62" s="16" t="str">
        <f t="shared" si="2"/>
        <v/>
      </c>
      <c r="T62" t="str">
        <f>IF(AND('Raw Data'!G62=$B$17,'Raw Data'!K62=$E$17,'Raw Data'!N62&gt;=$B$18),SUMPRODUCT(('Raw Data'!$G$2:$G62=$B$17)*('Raw Data'!$K$2:$K62=$E$17)*('Raw Data'!$N$2:$N62&gt;=$B$18)),"")</f>
        <v/>
      </c>
      <c r="U62" t="str">
        <f>IF($C62="Premium",SUMPRODUCT(($C$46:$C62="Premium")*1),"")</f>
        <v/>
      </c>
    </row>
    <row r="63" spans="1:21" x14ac:dyDescent="0.3">
      <c r="A63" s="14" t="s">
        <v>96</v>
      </c>
      <c r="B63" s="14" t="s">
        <v>97</v>
      </c>
      <c r="C63" s="14" t="str">
        <f>INDEX('Raw Data'!$L$2:$L$251,MATCH(A63,'Raw Data'!$C$2:$C$251,0))</f>
        <v>Basic</v>
      </c>
      <c r="D63" s="14">
        <f>COUNTIFS('Raw Data'!$C$2:$C$251,A63)</f>
        <v>5</v>
      </c>
      <c r="E63" s="15">
        <f>SUMIFS('Raw Data'!$N$2:$N$251,'Raw Data'!$C$2:$C$251,A63)</f>
        <v>10649.8</v>
      </c>
      <c r="F63" s="15">
        <f t="shared" si="0"/>
        <v>2129.96</v>
      </c>
      <c r="G63" s="14">
        <f t="shared" si="1"/>
        <v>3</v>
      </c>
      <c r="H63" s="16" t="str">
        <f t="shared" si="2"/>
        <v>⭐ Top 10</v>
      </c>
      <c r="T63" t="str">
        <f>IF(AND('Raw Data'!G63=$B$17,'Raw Data'!K63=$E$17,'Raw Data'!N63&gt;=$B$18),SUMPRODUCT(('Raw Data'!$G$2:$G63=$B$17)*('Raw Data'!$K$2:$K63=$E$17)*('Raw Data'!$N$2:$N63&gt;=$B$18)),"")</f>
        <v/>
      </c>
      <c r="U63" t="str">
        <f>IF($C63="Premium",SUMPRODUCT(($C$46:$C63="Premium")*1),"")</f>
        <v/>
      </c>
    </row>
    <row r="64" spans="1:21" x14ac:dyDescent="0.3">
      <c r="A64" s="14" t="s">
        <v>147</v>
      </c>
      <c r="B64" s="14" t="s">
        <v>148</v>
      </c>
      <c r="C64" s="14" t="str">
        <f>INDEX('Raw Data'!$L$2:$L$251,MATCH(A64,'Raw Data'!$C$2:$C$251,0))</f>
        <v>Standard</v>
      </c>
      <c r="D64" s="14">
        <f>COUNTIFS('Raw Data'!$C$2:$C$251,A64)</f>
        <v>7</v>
      </c>
      <c r="E64" s="15">
        <f>SUMIFS('Raw Data'!$N$2:$N$251,'Raw Data'!$C$2:$C$251,A64)</f>
        <v>7309.7999999999993</v>
      </c>
      <c r="F64" s="15">
        <f t="shared" si="0"/>
        <v>1044.2571428571428</v>
      </c>
      <c r="G64" s="14">
        <f t="shared" si="1"/>
        <v>8</v>
      </c>
      <c r="H64" s="16" t="str">
        <f t="shared" si="2"/>
        <v>⭐ Top 10</v>
      </c>
      <c r="T64" t="str">
        <f>IF(AND('Raw Data'!G64=$B$17,'Raw Data'!K64=$E$17,'Raw Data'!N64&gt;=$B$18),SUMPRODUCT(('Raw Data'!$G$2:$G64=$B$17)*('Raw Data'!$K$2:$K64=$E$17)*('Raw Data'!$N$2:$N64&gt;=$B$18)),"")</f>
        <v/>
      </c>
      <c r="U64" t="str">
        <f>IF($C64="Premium",SUMPRODUCT(($C$46:$C64="Premium")*1),"")</f>
        <v/>
      </c>
    </row>
    <row r="65" spans="1:21" x14ac:dyDescent="0.3">
      <c r="A65" s="14" t="s">
        <v>185</v>
      </c>
      <c r="B65" s="14" t="s">
        <v>186</v>
      </c>
      <c r="C65" s="14" t="str">
        <f>INDEX('Raw Data'!$L$2:$L$251,MATCH(A65,'Raw Data'!$C$2:$C$251,0))</f>
        <v>Basic</v>
      </c>
      <c r="D65" s="14">
        <f>COUNTIFS('Raw Data'!$C$2:$C$251,A65)</f>
        <v>4</v>
      </c>
      <c r="E65" s="15">
        <f>SUMIFS('Raw Data'!$N$2:$N$251,'Raw Data'!$C$2:$C$251,A65)</f>
        <v>2099.88</v>
      </c>
      <c r="F65" s="15">
        <f t="shared" si="0"/>
        <v>524.97</v>
      </c>
      <c r="G65" s="14">
        <f t="shared" si="1"/>
        <v>35</v>
      </c>
      <c r="H65" s="16" t="str">
        <f t="shared" si="2"/>
        <v/>
      </c>
      <c r="T65" t="str">
        <f>IF(AND('Raw Data'!G65=$B$17,'Raw Data'!K65=$E$17,'Raw Data'!N65&gt;=$B$18),SUMPRODUCT(('Raw Data'!$G$2:$G65=$B$17)*('Raw Data'!$K$2:$K65=$E$17)*('Raw Data'!$N$2:$N65&gt;=$B$18)),"")</f>
        <v/>
      </c>
      <c r="U65" t="str">
        <f>IF($C65="Premium",SUMPRODUCT(($C$46:$C65="Premium")*1),"")</f>
        <v/>
      </c>
    </row>
    <row r="66" spans="1:21" x14ac:dyDescent="0.3">
      <c r="A66" s="14" t="s">
        <v>29</v>
      </c>
      <c r="B66" s="14" t="s">
        <v>30</v>
      </c>
      <c r="C66" s="14" t="str">
        <f>INDEX('Raw Data'!$L$2:$L$251,MATCH(A66,'Raw Data'!$C$2:$C$251,0))</f>
        <v>Standard</v>
      </c>
      <c r="D66" s="14">
        <f>COUNTIFS('Raw Data'!$C$2:$C$251,A66)</f>
        <v>6</v>
      </c>
      <c r="E66" s="15">
        <f>SUMIFS('Raw Data'!$N$2:$N$251,'Raw Data'!$C$2:$C$251,A66)</f>
        <v>3259.87</v>
      </c>
      <c r="F66" s="15">
        <f t="shared" si="0"/>
        <v>543.31166666666661</v>
      </c>
      <c r="G66" s="14">
        <f t="shared" si="1"/>
        <v>33</v>
      </c>
      <c r="H66" s="16" t="str">
        <f t="shared" si="2"/>
        <v/>
      </c>
      <c r="T66" t="str">
        <f>IF(AND('Raw Data'!G66=$B$17,'Raw Data'!K66=$E$17,'Raw Data'!N66&gt;=$B$18),SUMPRODUCT(('Raw Data'!$G$2:$G66=$B$17)*('Raw Data'!$K$2:$K66=$E$17)*('Raw Data'!$N$2:$N66&gt;=$B$18)),"")</f>
        <v/>
      </c>
      <c r="U66" t="str">
        <f>IF($C66="Premium",SUMPRODUCT(($C$46:$C66="Premium")*1),"")</f>
        <v/>
      </c>
    </row>
    <row r="67" spans="1:21" x14ac:dyDescent="0.3">
      <c r="A67" s="14" t="s">
        <v>68</v>
      </c>
      <c r="B67" s="14" t="s">
        <v>69</v>
      </c>
      <c r="C67" s="14" t="str">
        <f>INDEX('Raw Data'!$L$2:$L$251,MATCH(A67,'Raw Data'!$C$2:$C$251,0))</f>
        <v>Standard</v>
      </c>
      <c r="D67" s="14">
        <f>COUNTIFS('Raw Data'!$C$2:$C$251,A67)</f>
        <v>4</v>
      </c>
      <c r="E67" s="15">
        <f>SUMIFS('Raw Data'!$N$2:$N$251,'Raw Data'!$C$2:$C$251,A67)</f>
        <v>1979.89</v>
      </c>
      <c r="F67" s="15">
        <f t="shared" si="0"/>
        <v>494.97250000000003</v>
      </c>
      <c r="G67" s="14">
        <f t="shared" si="1"/>
        <v>37</v>
      </c>
      <c r="H67" s="16" t="str">
        <f t="shared" si="2"/>
        <v/>
      </c>
      <c r="T67" t="str">
        <f>IF(AND('Raw Data'!G67=$B$17,'Raw Data'!K67=$E$17,'Raw Data'!N67&gt;=$B$18),SUMPRODUCT(('Raw Data'!$G$2:$G67=$B$17)*('Raw Data'!$K$2:$K67=$E$17)*('Raw Data'!$N$2:$N67&gt;=$B$18)),"")</f>
        <v/>
      </c>
      <c r="U67" t="str">
        <f>IF($C67="Premium",SUMPRODUCT(($C$46:$C67="Premium")*1),"")</f>
        <v/>
      </c>
    </row>
    <row r="68" spans="1:21" x14ac:dyDescent="0.3">
      <c r="A68" s="14" t="s">
        <v>15</v>
      </c>
      <c r="B68" s="14" t="s">
        <v>16</v>
      </c>
      <c r="C68" s="14" t="str">
        <f>INDEX('Raw Data'!$L$2:$L$251,MATCH(A68,'Raw Data'!$C$2:$C$251,0))</f>
        <v>Basic</v>
      </c>
      <c r="D68" s="14">
        <f>COUNTIFS('Raw Data'!$C$2:$C$251,A68)</f>
        <v>8</v>
      </c>
      <c r="E68" s="15">
        <f>SUMIFS('Raw Data'!$N$2:$N$251,'Raw Data'!$C$2:$C$251,A68)</f>
        <v>8309.739999999998</v>
      </c>
      <c r="F68" s="15">
        <f t="shared" si="0"/>
        <v>1038.7174999999997</v>
      </c>
      <c r="G68" s="14">
        <f t="shared" si="1"/>
        <v>5</v>
      </c>
      <c r="H68" s="16" t="str">
        <f t="shared" si="2"/>
        <v>⭐ Top 10</v>
      </c>
      <c r="T68" t="str">
        <f>IF(AND('Raw Data'!G68=$B$17,'Raw Data'!K68=$E$17,'Raw Data'!N68&gt;=$B$18),SUMPRODUCT(('Raw Data'!$G$2:$G68=$B$17)*('Raw Data'!$K$2:$K68=$E$17)*('Raw Data'!$N$2:$N68&gt;=$B$18)),"")</f>
        <v/>
      </c>
      <c r="U68" t="str">
        <f>IF($C68="Premium",SUMPRODUCT(($C$46:$C68="Premium")*1),"")</f>
        <v/>
      </c>
    </row>
    <row r="69" spans="1:21" x14ac:dyDescent="0.3">
      <c r="A69" s="14" t="s">
        <v>48</v>
      </c>
      <c r="B69" s="14" t="s">
        <v>49</v>
      </c>
      <c r="C69" s="14" t="str">
        <f>INDEX('Raw Data'!$L$2:$L$251,MATCH(A69,'Raw Data'!$C$2:$C$251,0))</f>
        <v>Standard</v>
      </c>
      <c r="D69" s="14">
        <f>COUNTIFS('Raw Data'!$C$2:$C$251,A69)</f>
        <v>6</v>
      </c>
      <c r="E69" s="15">
        <f>SUMIFS('Raw Data'!$N$2:$N$251,'Raw Data'!$C$2:$C$251,A69)</f>
        <v>8269.7900000000009</v>
      </c>
      <c r="F69" s="15">
        <f t="shared" si="0"/>
        <v>1378.2983333333334</v>
      </c>
      <c r="G69" s="14">
        <f t="shared" si="1"/>
        <v>6</v>
      </c>
      <c r="H69" s="16" t="str">
        <f t="shared" si="2"/>
        <v>⭐ Top 10</v>
      </c>
      <c r="T69" t="str">
        <f>IF(AND('Raw Data'!G69=$B$17,'Raw Data'!K69=$E$17,'Raw Data'!N69&gt;=$B$18),SUMPRODUCT(('Raw Data'!$G$2:$G69=$B$17)*('Raw Data'!$K$2:$K69=$E$17)*('Raw Data'!$N$2:$N69&gt;=$B$18)),"")</f>
        <v/>
      </c>
      <c r="U69" t="str">
        <f>IF($C69="Premium",SUMPRODUCT(($C$46:$C69="Premium")*1),"")</f>
        <v/>
      </c>
    </row>
    <row r="70" spans="1:21" x14ac:dyDescent="0.3">
      <c r="A70" s="14" t="s">
        <v>86</v>
      </c>
      <c r="B70" s="14" t="s">
        <v>87</v>
      </c>
      <c r="C70" s="14" t="str">
        <f>INDEX('Raw Data'!$L$2:$L$251,MATCH(A70,'Raw Data'!$C$2:$C$251,0))</f>
        <v>Premium</v>
      </c>
      <c r="D70" s="14">
        <f>COUNTIFS('Raw Data'!$C$2:$C$251,A70)</f>
        <v>12</v>
      </c>
      <c r="E70" s="15">
        <f>SUMIFS('Raw Data'!$N$2:$N$251,'Raw Data'!$C$2:$C$251,A70)</f>
        <v>15659.65</v>
      </c>
      <c r="F70" s="15">
        <f t="shared" si="0"/>
        <v>1304.9708333333333</v>
      </c>
      <c r="G70" s="14">
        <f t="shared" si="1"/>
        <v>1</v>
      </c>
      <c r="H70" s="16" t="str">
        <f t="shared" si="2"/>
        <v>⭐ Top 10</v>
      </c>
      <c r="T70" t="str">
        <f>IF(AND('Raw Data'!G70=$B$17,'Raw Data'!K70=$E$17,'Raw Data'!N70&gt;=$B$18),SUMPRODUCT(('Raw Data'!$G$2:$G70=$B$17)*('Raw Data'!$K$2:$K70=$E$17)*('Raw Data'!$N$2:$N70&gt;=$B$18)),"")</f>
        <v/>
      </c>
      <c r="U70">
        <f>IF($C70="Premium",SUMPRODUCT(($C$46:$C70="Premium")*1),"")</f>
        <v>6</v>
      </c>
    </row>
    <row r="71" spans="1:21" x14ac:dyDescent="0.3">
      <c r="A71" s="14" t="s">
        <v>65</v>
      </c>
      <c r="B71" s="14" t="s">
        <v>66</v>
      </c>
      <c r="C71" s="14" t="str">
        <f>INDEX('Raw Data'!$L$2:$L$251,MATCH(A71,'Raw Data'!$C$2:$C$251,0))</f>
        <v>Premium</v>
      </c>
      <c r="D71" s="14">
        <f>COUNTIFS('Raw Data'!$C$2:$C$251,A71)</f>
        <v>8</v>
      </c>
      <c r="E71" s="15">
        <f>SUMIFS('Raw Data'!$N$2:$N$251,'Raw Data'!$C$2:$C$251,A71)</f>
        <v>8009.7699999999995</v>
      </c>
      <c r="F71" s="15">
        <f t="shared" si="0"/>
        <v>1001.2212499999999</v>
      </c>
      <c r="G71" s="14">
        <f t="shared" si="1"/>
        <v>7</v>
      </c>
      <c r="H71" s="16" t="str">
        <f t="shared" si="2"/>
        <v>⭐ Top 10</v>
      </c>
      <c r="T71" t="str">
        <f>IF(AND('Raw Data'!G71=$B$17,'Raw Data'!K71=$E$17,'Raw Data'!N71&gt;=$B$18),SUMPRODUCT(('Raw Data'!$G$2:$G71=$B$17)*('Raw Data'!$K$2:$K71=$E$17)*('Raw Data'!$N$2:$N71&gt;=$B$18)),"")</f>
        <v/>
      </c>
      <c r="U71">
        <f>IF($C71="Premium",SUMPRODUCT(($C$46:$C71="Premium")*1),"")</f>
        <v>7</v>
      </c>
    </row>
    <row r="72" spans="1:21" x14ac:dyDescent="0.3">
      <c r="A72" s="14" t="s">
        <v>83</v>
      </c>
      <c r="B72" s="14" t="s">
        <v>84</v>
      </c>
      <c r="C72" s="14" t="str">
        <f>INDEX('Raw Data'!$L$2:$L$251,MATCH(A72,'Raw Data'!$C$2:$C$251,0))</f>
        <v>Standard</v>
      </c>
      <c r="D72" s="14">
        <f>COUNTIFS('Raw Data'!$C$2:$C$251,A72)</f>
        <v>3</v>
      </c>
      <c r="E72" s="15">
        <f>SUMIFS('Raw Data'!$N$2:$N$251,'Raw Data'!$C$2:$C$251,A72)</f>
        <v>3779.93</v>
      </c>
      <c r="F72" s="15">
        <f t="shared" si="0"/>
        <v>1259.9766666666667</v>
      </c>
      <c r="G72" s="14">
        <f t="shared" si="1"/>
        <v>28</v>
      </c>
      <c r="H72" s="16" t="str">
        <f t="shared" si="2"/>
        <v/>
      </c>
      <c r="T72" t="str">
        <f>IF(AND('Raw Data'!G72=$B$17,'Raw Data'!K72=$E$17,'Raw Data'!N72&gt;=$B$18),SUMPRODUCT(('Raw Data'!$G$2:$G72=$B$17)*('Raw Data'!$K$2:$K72=$E$17)*('Raw Data'!$N$2:$N72&gt;=$B$18)),"")</f>
        <v/>
      </c>
      <c r="U72" t="str">
        <f>IF($C72="Premium",SUMPRODUCT(($C$46:$C72="Premium")*1),"")</f>
        <v/>
      </c>
    </row>
    <row r="73" spans="1:21" x14ac:dyDescent="0.3">
      <c r="A73" s="14" t="s">
        <v>158</v>
      </c>
      <c r="B73" s="14" t="s">
        <v>159</v>
      </c>
      <c r="C73" s="14" t="str">
        <f>INDEX('Raw Data'!$L$2:$L$251,MATCH(A73,'Raw Data'!$C$2:$C$251,0))</f>
        <v>Standard</v>
      </c>
      <c r="D73" s="14">
        <f>COUNTIFS('Raw Data'!$C$2:$C$251,A73)</f>
        <v>5</v>
      </c>
      <c r="E73" s="15">
        <f>SUMIFS('Raw Data'!$N$2:$N$251,'Raw Data'!$C$2:$C$251,A73)</f>
        <v>5649.84</v>
      </c>
      <c r="F73" s="15">
        <f t="shared" si="0"/>
        <v>1129.9680000000001</v>
      </c>
      <c r="G73" s="14">
        <f t="shared" si="1"/>
        <v>16</v>
      </c>
      <c r="H73" s="16" t="str">
        <f t="shared" si="2"/>
        <v/>
      </c>
      <c r="T73" t="str">
        <f>IF(AND('Raw Data'!G73=$B$17,'Raw Data'!K73=$E$17,'Raw Data'!N73&gt;=$B$18),SUMPRODUCT(('Raw Data'!$G$2:$G73=$B$17)*('Raw Data'!$K$2:$K73=$E$17)*('Raw Data'!$N$2:$N73&gt;=$B$18)),"")</f>
        <v/>
      </c>
      <c r="U73" t="str">
        <f>IF($C73="Premium",SUMPRODUCT(($C$46:$C73="Premium")*1),"")</f>
        <v/>
      </c>
    </row>
    <row r="74" spans="1:21" x14ac:dyDescent="0.3">
      <c r="A74" s="14" t="s">
        <v>123</v>
      </c>
      <c r="B74" s="14" t="s">
        <v>124</v>
      </c>
      <c r="C74" s="14" t="str">
        <f>INDEX('Raw Data'!$L$2:$L$251,MATCH(A74,'Raw Data'!$C$2:$C$251,0))</f>
        <v>Standard</v>
      </c>
      <c r="D74" s="14">
        <f>COUNTIFS('Raw Data'!$C$2:$C$251,A74)</f>
        <v>6</v>
      </c>
      <c r="E74" s="15">
        <f>SUMIFS('Raw Data'!$N$2:$N$251,'Raw Data'!$C$2:$C$251,A74)</f>
        <v>11919.769999999999</v>
      </c>
      <c r="F74" s="15">
        <f t="shared" si="0"/>
        <v>1986.6283333333331</v>
      </c>
      <c r="G74" s="14">
        <f t="shared" si="1"/>
        <v>2</v>
      </c>
      <c r="H74" s="16" t="str">
        <f t="shared" si="2"/>
        <v>⭐ Top 10</v>
      </c>
      <c r="T74" t="str">
        <f>IF(AND('Raw Data'!G74=$B$17,'Raw Data'!K74=$E$17,'Raw Data'!N74&gt;=$B$18),SUMPRODUCT(('Raw Data'!$G$2:$G74=$B$17)*('Raw Data'!$K$2:$K74=$E$17)*('Raw Data'!$N$2:$N74&gt;=$B$18)),"")</f>
        <v/>
      </c>
      <c r="U74" t="str">
        <f>IF($C74="Premium",SUMPRODUCT(($C$46:$C74="Premium")*1),"")</f>
        <v/>
      </c>
    </row>
    <row r="75" spans="1:21" x14ac:dyDescent="0.3">
      <c r="A75" s="14" t="s">
        <v>120</v>
      </c>
      <c r="B75" s="14" t="s">
        <v>121</v>
      </c>
      <c r="C75" s="14" t="str">
        <f>INDEX('Raw Data'!$L$2:$L$251,MATCH(A75,'Raw Data'!$C$2:$C$251,0))</f>
        <v>Standard</v>
      </c>
      <c r="D75" s="14">
        <f>COUNTIFS('Raw Data'!$C$2:$C$251,A75)</f>
        <v>7</v>
      </c>
      <c r="E75" s="15">
        <f>SUMIFS('Raw Data'!$N$2:$N$251,'Raw Data'!$C$2:$C$251,A75)</f>
        <v>6459.79</v>
      </c>
      <c r="F75" s="15">
        <f t="shared" si="0"/>
        <v>922.8271428571428</v>
      </c>
      <c r="G75" s="14">
        <f t="shared" si="1"/>
        <v>11</v>
      </c>
      <c r="H75" s="16" t="str">
        <f t="shared" si="2"/>
        <v/>
      </c>
      <c r="T75" t="str">
        <f>IF(AND('Raw Data'!G75=$B$17,'Raw Data'!K75=$E$17,'Raw Data'!N75&gt;=$B$18),SUMPRODUCT(('Raw Data'!$G$2:$G75=$B$17)*('Raw Data'!$K$2:$K75=$E$17)*('Raw Data'!$N$2:$N75&gt;=$B$18)),"")</f>
        <v/>
      </c>
      <c r="U75" t="str">
        <f>IF($C75="Premium",SUMPRODUCT(($C$46:$C75="Premium")*1),"")</f>
        <v/>
      </c>
    </row>
    <row r="76" spans="1:21" x14ac:dyDescent="0.3">
      <c r="A76" s="14" t="s">
        <v>138</v>
      </c>
      <c r="B76" s="14" t="s">
        <v>139</v>
      </c>
      <c r="C76" s="14" t="str">
        <f>INDEX('Raw Data'!$L$2:$L$251,MATCH(A76,'Raw Data'!$C$2:$C$251,0))</f>
        <v>Premium</v>
      </c>
      <c r="D76" s="14">
        <f>COUNTIFS('Raw Data'!$C$2:$C$251,A76)</f>
        <v>6</v>
      </c>
      <c r="E76" s="15">
        <f>SUMIFS('Raw Data'!$N$2:$N$251,'Raw Data'!$C$2:$C$251,A76)</f>
        <v>2649.83</v>
      </c>
      <c r="F76" s="15">
        <f t="shared" si="0"/>
        <v>441.63833333333332</v>
      </c>
      <c r="G76" s="14">
        <f t="shared" si="1"/>
        <v>34</v>
      </c>
      <c r="H76" s="16" t="str">
        <f t="shared" si="2"/>
        <v/>
      </c>
      <c r="T76" t="str">
        <f>IF(AND('Raw Data'!G76=$B$17,'Raw Data'!K76=$E$17,'Raw Data'!N76&gt;=$B$18),SUMPRODUCT(('Raw Data'!$G$2:$G76=$B$17)*('Raw Data'!$K$2:$K76=$E$17)*('Raw Data'!$N$2:$N76&gt;=$B$18)),"")</f>
        <v/>
      </c>
      <c r="U76">
        <f>IF($C76="Premium",SUMPRODUCT(($C$46:$C76="Premium")*1),"")</f>
        <v>8</v>
      </c>
    </row>
    <row r="77" spans="1:21" x14ac:dyDescent="0.3">
      <c r="A77" s="14" t="s">
        <v>234</v>
      </c>
      <c r="B77" s="14" t="s">
        <v>235</v>
      </c>
      <c r="C77" s="14" t="str">
        <f>INDEX('Raw Data'!$L$2:$L$251,MATCH(A77,'Raw Data'!$C$2:$C$251,0))</f>
        <v>Premium</v>
      </c>
      <c r="D77" s="14">
        <f>COUNTIFS('Raw Data'!$C$2:$C$251,A77)</f>
        <v>5</v>
      </c>
      <c r="E77" s="15">
        <f>SUMIFS('Raw Data'!$N$2:$N$251,'Raw Data'!$C$2:$C$251,A77)</f>
        <v>6349.83</v>
      </c>
      <c r="F77" s="15">
        <f t="shared" si="0"/>
        <v>1269.9659999999999</v>
      </c>
      <c r="G77" s="14">
        <f t="shared" si="1"/>
        <v>13</v>
      </c>
      <c r="H77" s="16" t="str">
        <f t="shared" si="2"/>
        <v/>
      </c>
      <c r="T77" t="str">
        <f>IF(AND('Raw Data'!G77=$B$17,'Raw Data'!K77=$E$17,'Raw Data'!N77&gt;=$B$18),SUMPRODUCT(('Raw Data'!$G$2:$G77=$B$17)*('Raw Data'!$K$2:$K77=$E$17)*('Raw Data'!$N$2:$N77&gt;=$B$18)),"")</f>
        <v/>
      </c>
      <c r="U77">
        <f>IF($C77="Premium",SUMPRODUCT(($C$46:$C77="Premium")*1),"")</f>
        <v>9</v>
      </c>
    </row>
    <row r="78" spans="1:21" x14ac:dyDescent="0.3">
      <c r="A78" s="14" t="s">
        <v>192</v>
      </c>
      <c r="B78" s="14" t="s">
        <v>193</v>
      </c>
      <c r="C78" s="14" t="str">
        <f>INDEX('Raw Data'!$L$2:$L$251,MATCH(A78,'Raw Data'!$C$2:$C$251,0))</f>
        <v>Premium</v>
      </c>
      <c r="D78" s="14">
        <f>COUNTIFS('Raw Data'!$C$2:$C$251,A78)</f>
        <v>5</v>
      </c>
      <c r="E78" s="15">
        <f>SUMIFS('Raw Data'!$N$2:$N$251,'Raw Data'!$C$2:$C$251,A78)</f>
        <v>1479.91</v>
      </c>
      <c r="F78" s="15">
        <f t="shared" ref="F78:F95" si="3">IFERROR(E78/D78,0)</f>
        <v>295.98200000000003</v>
      </c>
      <c r="G78" s="14">
        <f t="shared" ref="G78:G95" si="4">RANK(E78,$E$46:$E$95)</f>
        <v>42</v>
      </c>
      <c r="H78" s="16" t="str">
        <f t="shared" ref="H78:H95" si="5">IF(G78&lt;=10,"⭐ Top 10","")</f>
        <v/>
      </c>
      <c r="T78" t="str">
        <f>IF(AND('Raw Data'!G78=$B$17,'Raw Data'!K78=$E$17,'Raw Data'!N78&gt;=$B$18),SUMPRODUCT(('Raw Data'!$G$2:$G78=$B$17)*('Raw Data'!$K$2:$K78=$E$17)*('Raw Data'!$N$2:$N78&gt;=$B$18)),"")</f>
        <v/>
      </c>
      <c r="U78">
        <f>IF($C78="Premium",SUMPRODUCT(($C$46:$C78="Premium")*1),"")</f>
        <v>10</v>
      </c>
    </row>
    <row r="79" spans="1:21" x14ac:dyDescent="0.3">
      <c r="A79" s="14" t="s">
        <v>231</v>
      </c>
      <c r="B79" s="14" t="s">
        <v>232</v>
      </c>
      <c r="C79" s="14" t="str">
        <f>INDEX('Raw Data'!$L$2:$L$251,MATCH(A79,'Raw Data'!$C$2:$C$251,0))</f>
        <v>Premium</v>
      </c>
      <c r="D79" s="14">
        <f>COUNTIFS('Raw Data'!$C$2:$C$251,A79)</f>
        <v>3</v>
      </c>
      <c r="E79" s="15">
        <f>SUMIFS('Raw Data'!$N$2:$N$251,'Raw Data'!$C$2:$C$251,A79)</f>
        <v>1149.93</v>
      </c>
      <c r="F79" s="15">
        <f t="shared" si="3"/>
        <v>383.31</v>
      </c>
      <c r="G79" s="14">
        <f t="shared" si="4"/>
        <v>45</v>
      </c>
      <c r="H79" s="16" t="str">
        <f t="shared" si="5"/>
        <v/>
      </c>
      <c r="T79" t="str">
        <f>IF(AND('Raw Data'!G79=$B$17,'Raw Data'!K79=$E$17,'Raw Data'!N79&gt;=$B$18),SUMPRODUCT(('Raw Data'!$G$2:$G79=$B$17)*('Raw Data'!$K$2:$K79=$E$17)*('Raw Data'!$N$2:$N79&gt;=$B$18)),"")</f>
        <v/>
      </c>
      <c r="U79">
        <f>IF($C79="Premium",SUMPRODUCT(($C$46:$C79="Premium")*1),"")</f>
        <v>11</v>
      </c>
    </row>
    <row r="80" spans="1:21" x14ac:dyDescent="0.3">
      <c r="A80" s="14" t="s">
        <v>144</v>
      </c>
      <c r="B80" s="14" t="s">
        <v>145</v>
      </c>
      <c r="C80" s="14" t="str">
        <f>INDEX('Raw Data'!$L$2:$L$251,MATCH(A80,'Raw Data'!$C$2:$C$251,0))</f>
        <v>Premium</v>
      </c>
      <c r="D80" s="14">
        <f>COUNTIFS('Raw Data'!$C$2:$C$251,A80)</f>
        <v>4</v>
      </c>
      <c r="E80" s="15">
        <f>SUMIFS('Raw Data'!$N$2:$N$251,'Raw Data'!$C$2:$C$251,A80)</f>
        <v>5519.8899999999994</v>
      </c>
      <c r="F80" s="15">
        <f t="shared" si="3"/>
        <v>1379.9724999999999</v>
      </c>
      <c r="G80" s="14">
        <f t="shared" si="4"/>
        <v>18</v>
      </c>
      <c r="H80" s="16" t="str">
        <f t="shared" si="5"/>
        <v/>
      </c>
      <c r="T80" t="str">
        <f>IF(AND('Raw Data'!G80=$B$17,'Raw Data'!K80=$E$17,'Raw Data'!N80&gt;=$B$18),SUMPRODUCT(('Raw Data'!$G$2:$G80=$B$17)*('Raw Data'!$K$2:$K80=$E$17)*('Raw Data'!$N$2:$N80&gt;=$B$18)),"")</f>
        <v/>
      </c>
      <c r="U80">
        <f>IF($C80="Premium",SUMPRODUCT(($C$46:$C80="Premium")*1),"")</f>
        <v>12</v>
      </c>
    </row>
    <row r="81" spans="1:21" x14ac:dyDescent="0.3">
      <c r="A81" s="14" t="s">
        <v>108</v>
      </c>
      <c r="B81" s="14" t="s">
        <v>109</v>
      </c>
      <c r="C81" s="14" t="str">
        <f>INDEX('Raw Data'!$L$2:$L$251,MATCH(A81,'Raw Data'!$C$2:$C$251,0))</f>
        <v>Standard</v>
      </c>
      <c r="D81" s="14">
        <f>COUNTIFS('Raw Data'!$C$2:$C$251,A81)</f>
        <v>6</v>
      </c>
      <c r="E81" s="15">
        <f>SUMIFS('Raw Data'!$N$2:$N$251,'Raw Data'!$C$2:$C$251,A81)</f>
        <v>4189.7700000000004</v>
      </c>
      <c r="F81" s="15">
        <f t="shared" si="3"/>
        <v>698.29500000000007</v>
      </c>
      <c r="G81" s="14">
        <f t="shared" si="4"/>
        <v>27</v>
      </c>
      <c r="H81" s="16" t="str">
        <f t="shared" si="5"/>
        <v/>
      </c>
      <c r="T81" t="str">
        <f>IF(AND('Raw Data'!G81=$B$17,'Raw Data'!K81=$E$17,'Raw Data'!N81&gt;=$B$18),SUMPRODUCT(('Raw Data'!$G$2:$G81=$B$17)*('Raw Data'!$K$2:$K81=$E$17)*('Raw Data'!$N$2:$N81&gt;=$B$18)),"")</f>
        <v/>
      </c>
      <c r="U81" t="str">
        <f>IF($C81="Premium",SUMPRODUCT(($C$46:$C81="Premium")*1),"")</f>
        <v/>
      </c>
    </row>
    <row r="82" spans="1:21" x14ac:dyDescent="0.3">
      <c r="A82" s="14" t="s">
        <v>325</v>
      </c>
      <c r="B82" s="14" t="s">
        <v>326</v>
      </c>
      <c r="C82" s="14" t="str">
        <f>INDEX('Raw Data'!$L$2:$L$251,MATCH(A82,'Raw Data'!$C$2:$C$251,0))</f>
        <v>Standard</v>
      </c>
      <c r="D82" s="14">
        <f>COUNTIFS('Raw Data'!$C$2:$C$251,A82)</f>
        <v>3</v>
      </c>
      <c r="E82" s="15">
        <f>SUMIFS('Raw Data'!$N$2:$N$251,'Raw Data'!$C$2:$C$251,A82)</f>
        <v>1559.94</v>
      </c>
      <c r="F82" s="15">
        <f t="shared" si="3"/>
        <v>519.98</v>
      </c>
      <c r="G82" s="14">
        <f t="shared" si="4"/>
        <v>41</v>
      </c>
      <c r="H82" s="16" t="str">
        <f t="shared" si="5"/>
        <v/>
      </c>
      <c r="T82" t="str">
        <f>IF(AND('Raw Data'!G82=$B$17,'Raw Data'!K82=$E$17,'Raw Data'!N82&gt;=$B$18),SUMPRODUCT(('Raw Data'!$G$2:$G82=$B$17)*('Raw Data'!$K$2:$K82=$E$17)*('Raw Data'!$N$2:$N82&gt;=$B$18)),"")</f>
        <v/>
      </c>
      <c r="U82" t="str">
        <f>IF($C82="Premium",SUMPRODUCT(($C$46:$C82="Premium")*1),"")</f>
        <v/>
      </c>
    </row>
    <row r="83" spans="1:21" x14ac:dyDescent="0.3">
      <c r="A83" s="14" t="s">
        <v>78</v>
      </c>
      <c r="B83" s="14" t="s">
        <v>79</v>
      </c>
      <c r="C83" s="14" t="str">
        <f>INDEX('Raw Data'!$L$2:$L$251,MATCH(A83,'Raw Data'!$C$2:$C$251,0))</f>
        <v>Basic</v>
      </c>
      <c r="D83" s="14">
        <f>COUNTIFS('Raw Data'!$C$2:$C$251,A83)</f>
        <v>2</v>
      </c>
      <c r="E83" s="15">
        <f>SUMIFS('Raw Data'!$N$2:$N$251,'Raw Data'!$C$2:$C$251,A83)</f>
        <v>4199.9399999999996</v>
      </c>
      <c r="F83" s="15">
        <f t="shared" si="3"/>
        <v>2099.9699999999998</v>
      </c>
      <c r="G83" s="14">
        <f t="shared" si="4"/>
        <v>26</v>
      </c>
      <c r="H83" s="16" t="str">
        <f t="shared" si="5"/>
        <v/>
      </c>
      <c r="T83">
        <f>IF(AND('Raw Data'!G83=$B$17,'Raw Data'!K83=$E$17,'Raw Data'!N83&gt;=$B$18),SUMPRODUCT(('Raw Data'!$G$2:$G83=$B$17)*('Raw Data'!$K$2:$K83=$E$17)*('Raw Data'!$N$2:$N83&gt;=$B$18)),"")</f>
        <v>5</v>
      </c>
      <c r="U83" t="str">
        <f>IF($C83="Premium",SUMPRODUCT(($C$46:$C83="Premium")*1),"")</f>
        <v/>
      </c>
    </row>
    <row r="84" spans="1:21" x14ac:dyDescent="0.3">
      <c r="A84" s="14" t="s">
        <v>226</v>
      </c>
      <c r="B84" s="14" t="s">
        <v>227</v>
      </c>
      <c r="C84" s="14" t="str">
        <f>INDEX('Raw Data'!$L$2:$L$251,MATCH(A84,'Raw Data'!$C$2:$C$251,0))</f>
        <v>Premium</v>
      </c>
      <c r="D84" s="14">
        <f>COUNTIFS('Raw Data'!$C$2:$C$251,A84)</f>
        <v>8</v>
      </c>
      <c r="E84" s="15">
        <f>SUMIFS('Raw Data'!$N$2:$N$251,'Raw Data'!$C$2:$C$251,A84)</f>
        <v>6989.7699999999986</v>
      </c>
      <c r="F84" s="15">
        <f t="shared" si="3"/>
        <v>873.72124999999983</v>
      </c>
      <c r="G84" s="14">
        <f t="shared" si="4"/>
        <v>9</v>
      </c>
      <c r="H84" s="16" t="str">
        <f t="shared" si="5"/>
        <v>⭐ Top 10</v>
      </c>
      <c r="T84" t="str">
        <f>IF(AND('Raw Data'!G84=$B$17,'Raw Data'!K84=$E$17,'Raw Data'!N84&gt;=$B$18),SUMPRODUCT(('Raw Data'!$G$2:$G84=$B$17)*('Raw Data'!$K$2:$K84=$E$17)*('Raw Data'!$N$2:$N84&gt;=$B$18)),"")</f>
        <v/>
      </c>
      <c r="U84">
        <f>IF($C84="Premium",SUMPRODUCT(($C$46:$C84="Premium")*1),"")</f>
        <v>13</v>
      </c>
    </row>
    <row r="85" spans="1:21" x14ac:dyDescent="0.3">
      <c r="A85" s="14" t="s">
        <v>150</v>
      </c>
      <c r="B85" s="14" t="s">
        <v>151</v>
      </c>
      <c r="C85" s="14" t="str">
        <f>INDEX('Raw Data'!$L$2:$L$251,MATCH(A85,'Raw Data'!$C$2:$C$251,0))</f>
        <v>Basic</v>
      </c>
      <c r="D85" s="14">
        <f>COUNTIFS('Raw Data'!$C$2:$C$251,A85)</f>
        <v>6</v>
      </c>
      <c r="E85" s="15">
        <f>SUMIFS('Raw Data'!$N$2:$N$251,'Raw Data'!$C$2:$C$251,A85)</f>
        <v>5619.869999999999</v>
      </c>
      <c r="F85" s="15">
        <f t="shared" si="3"/>
        <v>936.64499999999987</v>
      </c>
      <c r="G85" s="14">
        <f t="shared" si="4"/>
        <v>17</v>
      </c>
      <c r="H85" s="16" t="str">
        <f t="shared" si="5"/>
        <v/>
      </c>
      <c r="T85" t="str">
        <f>IF(AND('Raw Data'!G85=$B$17,'Raw Data'!K85=$E$17,'Raw Data'!N85&gt;=$B$18),SUMPRODUCT(('Raw Data'!$G$2:$G85=$B$17)*('Raw Data'!$K$2:$K85=$E$17)*('Raw Data'!$N$2:$N85&gt;=$B$18)),"")</f>
        <v/>
      </c>
      <c r="U85" t="str">
        <f>IF($C85="Premium",SUMPRODUCT(($C$46:$C85="Premium")*1),"")</f>
        <v/>
      </c>
    </row>
    <row r="86" spans="1:21" x14ac:dyDescent="0.3">
      <c r="A86" s="14" t="s">
        <v>72</v>
      </c>
      <c r="B86" s="14" t="s">
        <v>73</v>
      </c>
      <c r="C86" s="14" t="str">
        <f>INDEX('Raw Data'!$L$2:$L$251,MATCH(A86,'Raw Data'!$C$2:$C$251,0))</f>
        <v>Premium</v>
      </c>
      <c r="D86" s="14">
        <f>COUNTIFS('Raw Data'!$C$2:$C$251,A86)</f>
        <v>5</v>
      </c>
      <c r="E86" s="15">
        <f>SUMIFS('Raw Data'!$N$2:$N$251,'Raw Data'!$C$2:$C$251,A86)</f>
        <v>5949.85</v>
      </c>
      <c r="F86" s="15">
        <f t="shared" si="3"/>
        <v>1189.97</v>
      </c>
      <c r="G86" s="14">
        <f t="shared" si="4"/>
        <v>15</v>
      </c>
      <c r="H86" s="16" t="str">
        <f t="shared" si="5"/>
        <v/>
      </c>
      <c r="T86" t="str">
        <f>IF(AND('Raw Data'!G86=$B$17,'Raw Data'!K86=$E$17,'Raw Data'!N86&gt;=$B$18),SUMPRODUCT(('Raw Data'!$G$2:$G86=$B$17)*('Raw Data'!$K$2:$K86=$E$17)*('Raw Data'!$N$2:$N86&gt;=$B$18)),"")</f>
        <v/>
      </c>
      <c r="U86">
        <f>IF($C86="Premium",SUMPRODUCT(($C$46:$C86="Premium")*1),"")</f>
        <v>14</v>
      </c>
    </row>
    <row r="87" spans="1:21" x14ac:dyDescent="0.3">
      <c r="A87" s="14" t="s">
        <v>246</v>
      </c>
      <c r="B87" s="14" t="s">
        <v>247</v>
      </c>
      <c r="C87" s="14" t="str">
        <f>INDEX('Raw Data'!$L$2:$L$251,MATCH(A87,'Raw Data'!$C$2:$C$251,0))</f>
        <v>Basic</v>
      </c>
      <c r="D87" s="14">
        <f>COUNTIFS('Raw Data'!$C$2:$C$251,A87)</f>
        <v>3</v>
      </c>
      <c r="E87" s="15">
        <f>SUMIFS('Raw Data'!$N$2:$N$251,'Raw Data'!$C$2:$C$251,A87)</f>
        <v>1749.92</v>
      </c>
      <c r="F87" s="15">
        <f t="shared" si="3"/>
        <v>583.30666666666673</v>
      </c>
      <c r="G87" s="14">
        <f t="shared" si="4"/>
        <v>40</v>
      </c>
      <c r="H87" s="16" t="str">
        <f t="shared" si="5"/>
        <v/>
      </c>
      <c r="T87" t="str">
        <f>IF(AND('Raw Data'!G87=$B$17,'Raw Data'!K87=$E$17,'Raw Data'!N87&gt;=$B$18),SUMPRODUCT(('Raw Data'!$G$2:$G87=$B$17)*('Raw Data'!$K$2:$K87=$E$17)*('Raw Data'!$N$2:$N87&gt;=$B$18)),"")</f>
        <v/>
      </c>
      <c r="U87" t="str">
        <f>IF($C87="Premium",SUMPRODUCT(($C$46:$C87="Premium")*1),"")</f>
        <v/>
      </c>
    </row>
    <row r="88" spans="1:21" x14ac:dyDescent="0.3">
      <c r="A88" s="14" t="s">
        <v>75</v>
      </c>
      <c r="B88" s="14" t="s">
        <v>76</v>
      </c>
      <c r="C88" s="14" t="str">
        <f>INDEX('Raw Data'!$L$2:$L$251,MATCH(A88,'Raw Data'!$C$2:$C$251,0))</f>
        <v>Standard</v>
      </c>
      <c r="D88" s="14">
        <f>COUNTIFS('Raw Data'!$C$2:$C$251,A88)</f>
        <v>2</v>
      </c>
      <c r="E88" s="15">
        <f>SUMIFS('Raw Data'!$N$2:$N$251,'Raw Data'!$C$2:$C$251,A88)</f>
        <v>479.91999999999996</v>
      </c>
      <c r="F88" s="15">
        <f t="shared" si="3"/>
        <v>239.95999999999998</v>
      </c>
      <c r="G88" s="14">
        <f t="shared" si="4"/>
        <v>48</v>
      </c>
      <c r="H88" s="16" t="str">
        <f t="shared" si="5"/>
        <v/>
      </c>
      <c r="T88" t="str">
        <f>IF(AND('Raw Data'!G88=$B$17,'Raw Data'!K88=$E$17,'Raw Data'!N88&gt;=$B$18),SUMPRODUCT(('Raw Data'!$G$2:$G88=$B$17)*('Raw Data'!$K$2:$K88=$E$17)*('Raw Data'!$N$2:$N88&gt;=$B$18)),"")</f>
        <v/>
      </c>
      <c r="U88" t="str">
        <f>IF($C88="Premium",SUMPRODUCT(($C$46:$C88="Premium")*1),"")</f>
        <v/>
      </c>
    </row>
    <row r="89" spans="1:21" x14ac:dyDescent="0.3">
      <c r="A89" s="14" t="s">
        <v>102</v>
      </c>
      <c r="B89" s="14" t="s">
        <v>103</v>
      </c>
      <c r="C89" s="14" t="str">
        <f>INDEX('Raw Data'!$L$2:$L$251,MATCH(A89,'Raw Data'!$C$2:$C$251,0))</f>
        <v>Standard</v>
      </c>
      <c r="D89" s="14">
        <f>COUNTIFS('Raw Data'!$C$2:$C$251,A89)</f>
        <v>5</v>
      </c>
      <c r="E89" s="15">
        <f>SUMIFS('Raw Data'!$N$2:$N$251,'Raw Data'!$C$2:$C$251,A89)</f>
        <v>3769.8300000000004</v>
      </c>
      <c r="F89" s="15">
        <f t="shared" si="3"/>
        <v>753.96600000000012</v>
      </c>
      <c r="G89" s="14">
        <f t="shared" si="4"/>
        <v>29</v>
      </c>
      <c r="H89" s="16" t="str">
        <f t="shared" si="5"/>
        <v/>
      </c>
      <c r="T89" t="str">
        <f>IF(AND('Raw Data'!G89=$B$17,'Raw Data'!K89=$E$17,'Raw Data'!N89&gt;=$B$18),SUMPRODUCT(('Raw Data'!$G$2:$G89=$B$17)*('Raw Data'!$K$2:$K89=$E$17)*('Raw Data'!$N$2:$N89&gt;=$B$18)),"")</f>
        <v/>
      </c>
      <c r="U89" t="str">
        <f>IF($C89="Premium",SUMPRODUCT(($C$46:$C89="Premium")*1),"")</f>
        <v/>
      </c>
    </row>
    <row r="90" spans="1:21" x14ac:dyDescent="0.3">
      <c r="A90" s="14" t="s">
        <v>293</v>
      </c>
      <c r="B90" s="14" t="s">
        <v>294</v>
      </c>
      <c r="C90" s="14" t="str">
        <f>INDEX('Raw Data'!$L$2:$L$251,MATCH(A90,'Raw Data'!$C$2:$C$251,0))</f>
        <v>Basic</v>
      </c>
      <c r="D90" s="14">
        <f>COUNTIFS('Raw Data'!$C$2:$C$251,A90)</f>
        <v>4</v>
      </c>
      <c r="E90" s="15">
        <f>SUMIFS('Raw Data'!$N$2:$N$251,'Raw Data'!$C$2:$C$251,A90)</f>
        <v>4829.8899999999994</v>
      </c>
      <c r="F90" s="15">
        <f t="shared" si="3"/>
        <v>1207.4724999999999</v>
      </c>
      <c r="G90" s="14">
        <f t="shared" si="4"/>
        <v>21</v>
      </c>
      <c r="H90" s="16" t="str">
        <f t="shared" si="5"/>
        <v/>
      </c>
      <c r="T90" t="str">
        <f>IF(AND('Raw Data'!G90=$B$17,'Raw Data'!K90=$E$17,'Raw Data'!N90&gt;=$B$18),SUMPRODUCT(('Raw Data'!$G$2:$G90=$B$17)*('Raw Data'!$K$2:$K90=$E$17)*('Raw Data'!$N$2:$N90&gt;=$B$18)),"")</f>
        <v/>
      </c>
      <c r="U90" t="str">
        <f>IF($C90="Premium",SUMPRODUCT(($C$46:$C90="Premium")*1),"")</f>
        <v/>
      </c>
    </row>
    <row r="91" spans="1:21" x14ac:dyDescent="0.3">
      <c r="A91" s="14" t="s">
        <v>38</v>
      </c>
      <c r="B91" s="14" t="s">
        <v>39</v>
      </c>
      <c r="C91" s="14" t="str">
        <f>INDEX('Raw Data'!$L$2:$L$251,MATCH(A91,'Raw Data'!$C$2:$C$251,0))</f>
        <v>Premium</v>
      </c>
      <c r="D91" s="14">
        <f>COUNTIFS('Raw Data'!$C$2:$C$251,A91)</f>
        <v>6</v>
      </c>
      <c r="E91" s="15">
        <f>SUMIFS('Raw Data'!$N$2:$N$251,'Raw Data'!$C$2:$C$251,A91)</f>
        <v>4309.8099999999995</v>
      </c>
      <c r="F91" s="15">
        <f t="shared" si="3"/>
        <v>718.30166666666662</v>
      </c>
      <c r="G91" s="14">
        <f t="shared" si="4"/>
        <v>25</v>
      </c>
      <c r="H91" s="16" t="str">
        <f t="shared" si="5"/>
        <v/>
      </c>
      <c r="T91">
        <f>IF(AND('Raw Data'!G91=$B$17,'Raw Data'!K91=$E$17,'Raw Data'!N91&gt;=$B$18),SUMPRODUCT(('Raw Data'!$G$2:$G91=$B$17)*('Raw Data'!$K$2:$K91=$E$17)*('Raw Data'!$N$2:$N91&gt;=$B$18)),"")</f>
        <v>6</v>
      </c>
      <c r="U91">
        <f>IF($C91="Premium",SUMPRODUCT(($C$46:$C91="Premium")*1),"")</f>
        <v>15</v>
      </c>
    </row>
    <row r="92" spans="1:21" x14ac:dyDescent="0.3">
      <c r="A92" s="14" t="s">
        <v>196</v>
      </c>
      <c r="B92" s="14" t="s">
        <v>197</v>
      </c>
      <c r="C92" s="14" t="str">
        <f>INDEX('Raw Data'!$L$2:$L$251,MATCH(A92,'Raw Data'!$C$2:$C$251,0))</f>
        <v>Basic</v>
      </c>
      <c r="D92" s="14">
        <f>COUNTIFS('Raw Data'!$C$2:$C$251,A92)</f>
        <v>4</v>
      </c>
      <c r="E92" s="15">
        <f>SUMIFS('Raw Data'!$N$2:$N$251,'Raw Data'!$C$2:$C$251,A92)</f>
        <v>6379.87</v>
      </c>
      <c r="F92" s="15">
        <f t="shared" si="3"/>
        <v>1594.9675</v>
      </c>
      <c r="G92" s="14">
        <f t="shared" si="4"/>
        <v>12</v>
      </c>
      <c r="H92" s="16" t="str">
        <f t="shared" si="5"/>
        <v/>
      </c>
      <c r="T92" t="str">
        <f>IF(AND('Raw Data'!G92=$B$17,'Raw Data'!K92=$E$17,'Raw Data'!N92&gt;=$B$18),SUMPRODUCT(('Raw Data'!$G$2:$G92=$B$17)*('Raw Data'!$K$2:$K92=$E$17)*('Raw Data'!$N$2:$N92&gt;=$B$18)),"")</f>
        <v/>
      </c>
      <c r="U92" t="str">
        <f>IF($C92="Premium",SUMPRODUCT(($C$46:$C92="Premium")*1),"")</f>
        <v/>
      </c>
    </row>
    <row r="93" spans="1:21" x14ac:dyDescent="0.3">
      <c r="A93" s="14" t="s">
        <v>93</v>
      </c>
      <c r="B93" s="14" t="s">
        <v>94</v>
      </c>
      <c r="C93" s="14" t="str">
        <f>INDEX('Raw Data'!$L$2:$L$251,MATCH(A93,'Raw Data'!$C$2:$C$251,0))</f>
        <v>Premium</v>
      </c>
      <c r="D93" s="14">
        <f>COUNTIFS('Raw Data'!$C$2:$C$251,A93)</f>
        <v>6</v>
      </c>
      <c r="E93" s="15">
        <f>SUMIFS('Raw Data'!$N$2:$N$251,'Raw Data'!$C$2:$C$251,A93)</f>
        <v>4789.7900000000009</v>
      </c>
      <c r="F93" s="15">
        <f t="shared" si="3"/>
        <v>798.29833333333352</v>
      </c>
      <c r="G93" s="14">
        <f t="shared" si="4"/>
        <v>22</v>
      </c>
      <c r="H93" s="16" t="str">
        <f t="shared" si="5"/>
        <v/>
      </c>
      <c r="T93" t="str">
        <f>IF(AND('Raw Data'!G93=$B$17,'Raw Data'!K93=$E$17,'Raw Data'!N93&gt;=$B$18),SUMPRODUCT(('Raw Data'!$G$2:$G93=$B$17)*('Raw Data'!$K$2:$K93=$E$17)*('Raw Data'!$N$2:$N93&gt;=$B$18)),"")</f>
        <v/>
      </c>
      <c r="U93">
        <f>IF($C93="Premium",SUMPRODUCT(($C$46:$C93="Premium")*1),"")</f>
        <v>16</v>
      </c>
    </row>
    <row r="94" spans="1:21" x14ac:dyDescent="0.3">
      <c r="A94" s="14" t="s">
        <v>171</v>
      </c>
      <c r="B94" s="14" t="s">
        <v>172</v>
      </c>
      <c r="C94" s="14" t="str">
        <f>INDEX('Raw Data'!$L$2:$L$251,MATCH(A94,'Raw Data'!$C$2:$C$251,0))</f>
        <v>Basic</v>
      </c>
      <c r="D94" s="14">
        <f>COUNTIFS('Raw Data'!$C$2:$C$251,A94)</f>
        <v>4</v>
      </c>
      <c r="E94" s="15">
        <f>SUMIFS('Raw Data'!$N$2:$N$251,'Raw Data'!$C$2:$C$251,A94)</f>
        <v>3669.8500000000004</v>
      </c>
      <c r="F94" s="15">
        <f t="shared" si="3"/>
        <v>917.46250000000009</v>
      </c>
      <c r="G94" s="14">
        <f t="shared" si="4"/>
        <v>30</v>
      </c>
      <c r="H94" s="16" t="str">
        <f t="shared" si="5"/>
        <v/>
      </c>
      <c r="T94" t="str">
        <f>IF(AND('Raw Data'!G94=$B$17,'Raw Data'!K94=$E$17,'Raw Data'!N94&gt;=$B$18),SUMPRODUCT(('Raw Data'!$G$2:$G94=$B$17)*('Raw Data'!$K$2:$K94=$E$17)*('Raw Data'!$N$2:$N94&gt;=$B$18)),"")</f>
        <v/>
      </c>
      <c r="U94" t="str">
        <f>IF($C94="Premium",SUMPRODUCT(($C$46:$C94="Premium")*1),"")</f>
        <v/>
      </c>
    </row>
    <row r="95" spans="1:21" x14ac:dyDescent="0.3">
      <c r="A95" s="14" t="s">
        <v>162</v>
      </c>
      <c r="B95" s="14" t="s">
        <v>163</v>
      </c>
      <c r="C95" s="14" t="str">
        <f>INDEX('Raw Data'!$L$2:$L$251,MATCH(A95,'Raw Data'!$C$2:$C$251,0))</f>
        <v>Standard</v>
      </c>
      <c r="D95" s="14">
        <f>COUNTIFS('Raw Data'!$C$2:$C$251,A95)</f>
        <v>1</v>
      </c>
      <c r="E95" s="15">
        <f>SUMIFS('Raw Data'!$N$2:$N$251,'Raw Data'!$C$2:$C$251,A95)</f>
        <v>239.96</v>
      </c>
      <c r="F95" s="15">
        <f t="shared" si="3"/>
        <v>239.96</v>
      </c>
      <c r="G95" s="14">
        <f t="shared" si="4"/>
        <v>49</v>
      </c>
      <c r="H95" s="16" t="str">
        <f t="shared" si="5"/>
        <v/>
      </c>
      <c r="T95" t="str">
        <f>IF(AND('Raw Data'!G95=$B$17,'Raw Data'!K95=$E$17,'Raw Data'!N95&gt;=$B$18),SUMPRODUCT(('Raw Data'!$G$2:$G95=$B$17)*('Raw Data'!$K$2:$K95=$E$17)*('Raw Data'!$N$2:$N95&gt;=$B$18)),"")</f>
        <v/>
      </c>
      <c r="U95" t="str">
        <f>IF($C95="Premium",SUMPRODUCT(($C$46:$C95="Premium")*1),"")</f>
        <v/>
      </c>
    </row>
    <row r="96" spans="1:21" x14ac:dyDescent="0.3">
      <c r="T96" t="str">
        <f>IF(AND('Raw Data'!G96=$B$17,'Raw Data'!K96=$E$17,'Raw Data'!N96&gt;=$B$18),SUMPRODUCT(('Raw Data'!$G$2:$G96=$B$17)*('Raw Data'!$K$2:$K96=$E$17)*('Raw Data'!$N$2:$N96&gt;=$B$18)),"")</f>
        <v/>
      </c>
    </row>
    <row r="97" spans="1:20" ht="19.5" customHeight="1" x14ac:dyDescent="0.3">
      <c r="A97" s="36" t="s">
        <v>426</v>
      </c>
      <c r="B97" s="36"/>
      <c r="C97" s="36"/>
      <c r="D97" s="36"/>
      <c r="E97" s="36"/>
      <c r="F97" s="36"/>
      <c r="G97" s="36"/>
      <c r="H97" s="36"/>
      <c r="I97" s="36"/>
      <c r="T97" t="str">
        <f>IF(AND('Raw Data'!G97=$B$17,'Raw Data'!K97=$E$17,'Raw Data'!N97&gt;=$B$18),SUMPRODUCT(('Raw Data'!$G$2:$G97=$B$17)*('Raw Data'!$K$2:$K97=$E$17)*('Raw Data'!$N$2:$N97&gt;=$B$18)),"")</f>
        <v/>
      </c>
    </row>
    <row r="98" spans="1:20" x14ac:dyDescent="0.3">
      <c r="A98" s="13" t="s">
        <v>4</v>
      </c>
      <c r="B98" s="13" t="s">
        <v>5</v>
      </c>
      <c r="C98" s="13" t="s">
        <v>6</v>
      </c>
      <c r="D98" s="13" t="s">
        <v>427</v>
      </c>
      <c r="E98" s="13" t="s">
        <v>428</v>
      </c>
      <c r="F98" s="13" t="s">
        <v>429</v>
      </c>
      <c r="T98" t="str">
        <f>IF(AND('Raw Data'!G98=$B$17,'Raw Data'!K98=$E$17,'Raw Data'!N98&gt;=$B$18),SUMPRODUCT(('Raw Data'!$G$2:$G98=$B$17)*('Raw Data'!$K$2:$K98=$E$17)*('Raw Data'!$N$2:$N98&gt;=$B$18)),"")</f>
        <v/>
      </c>
    </row>
    <row r="99" spans="1:20" x14ac:dyDescent="0.3">
      <c r="A99" s="14" t="s">
        <v>61</v>
      </c>
      <c r="B99" s="14" t="s">
        <v>62</v>
      </c>
      <c r="C99" s="14" t="s">
        <v>19</v>
      </c>
      <c r="D99" s="14">
        <f>COUNTIF('Raw Data'!$E$2:$E$251,A99)</f>
        <v>24</v>
      </c>
      <c r="E99" s="14">
        <f>SUMIF('Raw Data'!$E$2:$E$251,A99,'Raw Data'!$H$2:$H$251)</f>
        <v>75</v>
      </c>
      <c r="F99" s="15">
        <f>SUMIF('Raw Data'!$E$2:$E$251,A99,'Raw Data'!$N$2:$N$251)</f>
        <v>67499.25</v>
      </c>
      <c r="T99" t="str">
        <f>IF(AND('Raw Data'!G99=$B$17,'Raw Data'!K99=$E$17,'Raw Data'!N99&gt;=$B$18),SUMPRODUCT(('Raw Data'!$G$2:$G99=$B$17)*('Raw Data'!$K$2:$K99=$E$17)*('Raw Data'!$N$2:$N99&gt;=$B$18)),"")</f>
        <v/>
      </c>
    </row>
    <row r="100" spans="1:20" x14ac:dyDescent="0.3">
      <c r="A100" s="14" t="s">
        <v>80</v>
      </c>
      <c r="B100" s="14" t="s">
        <v>81</v>
      </c>
      <c r="C100" s="14" t="s">
        <v>19</v>
      </c>
      <c r="D100" s="14">
        <f>COUNTIF('Raw Data'!$E$2:$E$251,A100)</f>
        <v>31</v>
      </c>
      <c r="E100" s="14">
        <f>SUMIF('Raw Data'!$E$2:$E$251,A100,'Raw Data'!$H$2:$H$251)</f>
        <v>96</v>
      </c>
      <c r="F100" s="15">
        <f>SUMIF('Raw Data'!$E$2:$E$251,A100,'Raw Data'!$N$2:$N$251)</f>
        <v>67199.039999999994</v>
      </c>
      <c r="T100" t="str">
        <f>IF(AND('Raw Data'!G100=$B$17,'Raw Data'!K100=$E$17,'Raw Data'!N100&gt;=$B$18),SUMPRODUCT(('Raw Data'!$G$2:$G100=$B$17)*('Raw Data'!$K$2:$K100=$E$17)*('Raw Data'!$N$2:$N100&gt;=$B$18)),"")</f>
        <v/>
      </c>
    </row>
    <row r="101" spans="1:20" x14ac:dyDescent="0.3">
      <c r="A101" s="14" t="s">
        <v>52</v>
      </c>
      <c r="B101" s="14" t="s">
        <v>53</v>
      </c>
      <c r="C101" s="14" t="s">
        <v>19</v>
      </c>
      <c r="D101" s="14">
        <f>COUNTIF('Raw Data'!$E$2:$E$251,A101)</f>
        <v>16</v>
      </c>
      <c r="E101" s="14">
        <f>SUMIF('Raw Data'!$E$2:$E$251,A101,'Raw Data'!$H$2:$H$251)</f>
        <v>47</v>
      </c>
      <c r="F101" s="15">
        <f>SUMIF('Raw Data'!$E$2:$E$251,A101,'Raw Data'!$N$2:$N$251)</f>
        <v>7049.5299999999988</v>
      </c>
      <c r="T101" t="str">
        <f>IF(AND('Raw Data'!G101=$B$17,'Raw Data'!K101=$E$17,'Raw Data'!N101&gt;=$B$18),SUMPRODUCT(('Raw Data'!$G$2:$G101=$B$17)*('Raw Data'!$K$2:$K101=$E$17)*('Raw Data'!$N$2:$N101&gt;=$B$18)),"")</f>
        <v/>
      </c>
    </row>
    <row r="102" spans="1:20" x14ac:dyDescent="0.3">
      <c r="A102" s="14" t="s">
        <v>114</v>
      </c>
      <c r="B102" s="14" t="s">
        <v>115</v>
      </c>
      <c r="C102" s="14" t="s">
        <v>33</v>
      </c>
      <c r="D102" s="14">
        <f>COUNTIF('Raw Data'!$E$2:$E$251,A102)</f>
        <v>14</v>
      </c>
      <c r="E102" s="14">
        <f>SUMIF('Raw Data'!$E$2:$E$251,A102,'Raw Data'!$H$2:$H$251)</f>
        <v>39</v>
      </c>
      <c r="F102" s="15">
        <f>SUMIF('Raw Data'!$E$2:$E$251,A102,'Raw Data'!$N$2:$N$251)</f>
        <v>3119.6099999999992</v>
      </c>
      <c r="T102">
        <f>IF(AND('Raw Data'!G102=$B$17,'Raw Data'!K102=$E$17,'Raw Data'!N102&gt;=$B$18),SUMPRODUCT(('Raw Data'!$G$2:$G102=$B$17)*('Raw Data'!$K$2:$K102=$E$17)*('Raw Data'!$N$2:$N102&gt;=$B$18)),"")</f>
        <v>7</v>
      </c>
    </row>
    <row r="103" spans="1:20" x14ac:dyDescent="0.3">
      <c r="A103" s="14" t="s">
        <v>31</v>
      </c>
      <c r="B103" s="14" t="s">
        <v>32</v>
      </c>
      <c r="C103" s="14" t="s">
        <v>33</v>
      </c>
      <c r="D103" s="14">
        <f>COUNTIF('Raw Data'!$E$2:$E$251,A103)</f>
        <v>29</v>
      </c>
      <c r="E103" s="14">
        <f>SUMIF('Raw Data'!$E$2:$E$251,A103,'Raw Data'!$H$2:$H$251)</f>
        <v>87</v>
      </c>
      <c r="F103" s="15">
        <f>SUMIF('Raw Data'!$E$2:$E$251,A103,'Raw Data'!$N$2:$N$251)</f>
        <v>5219.1299999999974</v>
      </c>
      <c r="T103" t="str">
        <f>IF(AND('Raw Data'!G103=$B$17,'Raw Data'!K103=$E$17,'Raw Data'!N103&gt;=$B$18),SUMPRODUCT(('Raw Data'!$G$2:$G103=$B$17)*('Raw Data'!$K$2:$K103=$E$17)*('Raw Data'!$N$2:$N103&gt;=$B$18)),"")</f>
        <v/>
      </c>
    </row>
    <row r="104" spans="1:20" x14ac:dyDescent="0.3">
      <c r="A104" s="14" t="s">
        <v>126</v>
      </c>
      <c r="B104" s="14" t="s">
        <v>127</v>
      </c>
      <c r="C104" s="14" t="s">
        <v>46</v>
      </c>
      <c r="D104" s="14">
        <f>COUNTIF('Raw Data'!$E$2:$E$251,A104)</f>
        <v>15</v>
      </c>
      <c r="E104" s="14">
        <f>SUMIF('Raw Data'!$E$2:$E$251,A104,'Raw Data'!$H$2:$H$251)</f>
        <v>52</v>
      </c>
      <c r="F104" s="15">
        <f>SUMIF('Raw Data'!$E$2:$E$251,A104,'Raw Data'!$N$2:$N$251)</f>
        <v>10399.479999999998</v>
      </c>
      <c r="T104" t="str">
        <f>IF(AND('Raw Data'!G104=$B$17,'Raw Data'!K104=$E$17,'Raw Data'!N104&gt;=$B$18),SUMPRODUCT(('Raw Data'!$G$2:$G104=$B$17)*('Raw Data'!$K$2:$K104=$E$17)*('Raw Data'!$N$2:$N104&gt;=$B$18)),"")</f>
        <v/>
      </c>
    </row>
    <row r="105" spans="1:20" x14ac:dyDescent="0.3">
      <c r="A105" s="14" t="s">
        <v>105</v>
      </c>
      <c r="B105" s="14" t="s">
        <v>106</v>
      </c>
      <c r="C105" s="14" t="s">
        <v>46</v>
      </c>
      <c r="D105" s="14">
        <f>COUNTIF('Raw Data'!$E$2:$E$251,A105)</f>
        <v>26</v>
      </c>
      <c r="E105" s="14">
        <f>SUMIF('Raw Data'!$E$2:$E$251,A105,'Raw Data'!$H$2:$H$251)</f>
        <v>78</v>
      </c>
      <c r="F105" s="15">
        <f>SUMIF('Raw Data'!$E$2:$E$251,A105,'Raw Data'!$N$2:$N$251)</f>
        <v>23399.22</v>
      </c>
      <c r="T105" t="str">
        <f>IF(AND('Raw Data'!G105=$B$17,'Raw Data'!K105=$E$17,'Raw Data'!N105&gt;=$B$18),SUMPRODUCT(('Raw Data'!$G$2:$G105=$B$17)*('Raw Data'!$K$2:$K105=$E$17)*('Raw Data'!$N$2:$N105&gt;=$B$18)),"")</f>
        <v/>
      </c>
    </row>
    <row r="106" spans="1:20" x14ac:dyDescent="0.3">
      <c r="A106" s="14" t="s">
        <v>44</v>
      </c>
      <c r="B106" s="14" t="s">
        <v>45</v>
      </c>
      <c r="C106" s="14" t="s">
        <v>46</v>
      </c>
      <c r="D106" s="14">
        <f>COUNTIF('Raw Data'!$E$2:$E$251,A106)</f>
        <v>35</v>
      </c>
      <c r="E106" s="14">
        <f>SUMIF('Raw Data'!$E$2:$E$251,A106,'Raw Data'!$H$2:$H$251)</f>
        <v>102</v>
      </c>
      <c r="F106" s="15">
        <f>SUMIF('Raw Data'!$E$2:$E$251,A106,'Raw Data'!$N$2:$N$251)</f>
        <v>15298.979999999994</v>
      </c>
      <c r="T106" t="str">
        <f>IF(AND('Raw Data'!G106=$B$17,'Raw Data'!K106=$E$17,'Raw Data'!N106&gt;=$B$18),SUMPRODUCT(('Raw Data'!$G$2:$G106=$B$17)*('Raw Data'!$K$2:$K106=$E$17)*('Raw Data'!$N$2:$N106&gt;=$B$18)),"")</f>
        <v/>
      </c>
    </row>
    <row r="107" spans="1:20" x14ac:dyDescent="0.3">
      <c r="A107" s="14" t="s">
        <v>17</v>
      </c>
      <c r="B107" s="14" t="s">
        <v>18</v>
      </c>
      <c r="C107" s="14" t="s">
        <v>19</v>
      </c>
      <c r="D107" s="14">
        <f>COUNTIF('Raw Data'!$E$2:$E$251,A107)</f>
        <v>26</v>
      </c>
      <c r="E107" s="14">
        <f>SUMIF('Raw Data'!$E$2:$E$251,A107,'Raw Data'!$H$2:$H$251)</f>
        <v>88</v>
      </c>
      <c r="F107" s="15">
        <f>SUMIF('Raw Data'!$E$2:$E$251,A107,'Raw Data'!$N$2:$N$251)</f>
        <v>21999.119999999999</v>
      </c>
      <c r="T107" t="str">
        <f>IF(AND('Raw Data'!G107=$B$17,'Raw Data'!K107=$E$17,'Raw Data'!N107&gt;=$B$18),SUMPRODUCT(('Raw Data'!$G$2:$G107=$B$17)*('Raw Data'!$K$2:$K107=$E$17)*('Raw Data'!$N$2:$N107&gt;=$B$18)),"")</f>
        <v/>
      </c>
    </row>
    <row r="108" spans="1:20" x14ac:dyDescent="0.3">
      <c r="A108" s="14" t="s">
        <v>117</v>
      </c>
      <c r="B108" s="14" t="s">
        <v>118</v>
      </c>
      <c r="C108" s="14" t="s">
        <v>19</v>
      </c>
      <c r="D108" s="14">
        <f>COUNTIF('Raw Data'!$E$2:$E$251,A108)</f>
        <v>34</v>
      </c>
      <c r="E108" s="14">
        <f>SUMIF('Raw Data'!$E$2:$E$251,A108,'Raw Data'!$H$2:$H$251)</f>
        <v>89</v>
      </c>
      <c r="F108" s="15">
        <f>SUMIF('Raw Data'!$E$2:$E$251,A108,'Raw Data'!$N$2:$N$251)</f>
        <v>8009.1099999999969</v>
      </c>
      <c r="T108" t="str">
        <f>IF(AND('Raw Data'!G108=$B$17,'Raw Data'!K108=$E$17,'Raw Data'!N108&gt;=$B$18),SUMPRODUCT(('Raw Data'!$G$2:$G108=$B$17)*('Raw Data'!$K$2:$K108=$E$17)*('Raw Data'!$N$2:$N108&gt;=$B$18)),"")</f>
        <v/>
      </c>
    </row>
    <row r="109" spans="1:20" x14ac:dyDescent="0.3">
      <c r="T109" t="str">
        <f>IF(AND('Raw Data'!G109=$B$17,'Raw Data'!K109=$E$17,'Raw Data'!N109&gt;=$B$18),SUMPRODUCT(('Raw Data'!$G$2:$G109=$B$17)*('Raw Data'!$K$2:$K109=$E$17)*('Raw Data'!$N$2:$N109&gt;=$B$18)),"")</f>
        <v/>
      </c>
    </row>
    <row r="110" spans="1:20" x14ac:dyDescent="0.3">
      <c r="A110" s="5" t="s">
        <v>430</v>
      </c>
      <c r="C110" s="17" t="str">
        <f>INDEX($B$99:$B$108,MATCH(MAX($D$99:$D$108),$D$99:$D$108,0))</f>
        <v>Bookshelf</v>
      </c>
      <c r="T110" t="str">
        <f>IF(AND('Raw Data'!G110=$B$17,'Raw Data'!K110=$E$17,'Raw Data'!N110&gt;=$B$18),SUMPRODUCT(('Raw Data'!$G$2:$G110=$B$17)*('Raw Data'!$K$2:$K110=$E$17)*('Raw Data'!$N$2:$N110&gt;=$B$18)),"")</f>
        <v/>
      </c>
    </row>
    <row r="111" spans="1:20" x14ac:dyDescent="0.3">
      <c r="A111" s="5" t="s">
        <v>431</v>
      </c>
      <c r="C111" s="17" t="str">
        <f>INDEX($B$99:$B$108,MATCH(MAX($F$99:$F$108),$F$99:$F$108,0))</f>
        <v>Laptop</v>
      </c>
      <c r="T111" t="str">
        <f>IF(AND('Raw Data'!G111=$B$17,'Raw Data'!K111=$E$17,'Raw Data'!N111&gt;=$B$18),SUMPRODUCT(('Raw Data'!$G$2:$G111=$B$17)*('Raw Data'!$K$2:$K111=$E$17)*('Raw Data'!$N$2:$N111&gt;=$B$18)),"")</f>
        <v/>
      </c>
    </row>
    <row r="112" spans="1:20" x14ac:dyDescent="0.3">
      <c r="A112" s="5" t="s">
        <v>432</v>
      </c>
      <c r="C112" s="17" t="str">
        <f>INDEX(Analysis!$B$46:$B$95,MATCH(MAX(Analysis!$D$46:$D$95),Analysis!$D$46:$D$95,0))</f>
        <v>Mark Carter</v>
      </c>
      <c r="T112">
        <f>IF(AND('Raw Data'!G112=$B$17,'Raw Data'!K112=$E$17,'Raw Data'!N112&gt;=$B$18),SUMPRODUCT(('Raw Data'!$G$2:$G112=$B$17)*('Raw Data'!$K$2:$K112=$E$17)*('Raw Data'!$N$2:$N112&gt;=$B$18)),"")</f>
        <v>8</v>
      </c>
    </row>
    <row r="113" spans="1:20" x14ac:dyDescent="0.3">
      <c r="A113" s="5" t="s">
        <v>433</v>
      </c>
      <c r="C113" s="1">
        <f>MAX(Analysis!$D$46:$D$95)</f>
        <v>12</v>
      </c>
      <c r="T113" t="str">
        <f>IF(AND('Raw Data'!G113=$B$17,'Raw Data'!K113=$E$17,'Raw Data'!N113&gt;=$B$18),SUMPRODUCT(('Raw Data'!$G$2:$G113=$B$17)*('Raw Data'!$K$2:$K113=$E$17)*('Raw Data'!$N$2:$N113&gt;=$B$18)),"")</f>
        <v/>
      </c>
    </row>
    <row r="114" spans="1:20" x14ac:dyDescent="0.3">
      <c r="T114" t="str">
        <f>IF(AND('Raw Data'!G114=$B$17,'Raw Data'!K114=$E$17,'Raw Data'!N114&gt;=$B$18),SUMPRODUCT(('Raw Data'!$G$2:$G114=$B$17)*('Raw Data'!$K$2:$K114=$E$17)*('Raw Data'!$N$2:$N114&gt;=$B$18)),"")</f>
        <v/>
      </c>
    </row>
    <row r="115" spans="1:20" ht="19.5" customHeight="1" x14ac:dyDescent="0.3">
      <c r="A115" s="36" t="s">
        <v>434</v>
      </c>
      <c r="B115" s="36"/>
      <c r="C115" s="36"/>
      <c r="D115" s="36"/>
      <c r="E115" s="36"/>
      <c r="F115" s="36"/>
      <c r="G115" s="36"/>
      <c r="H115" s="36"/>
      <c r="I115" s="36"/>
      <c r="T115" t="str">
        <f>IF(AND('Raw Data'!G115=$B$17,'Raw Data'!K115=$E$17,'Raw Data'!N115&gt;=$B$18),SUMPRODUCT(('Raw Data'!$G$2:$G115=$B$17)*('Raw Data'!$K$2:$K115=$E$17)*('Raw Data'!$N$2:$N115&gt;=$B$18)),"")</f>
        <v/>
      </c>
    </row>
    <row r="116" spans="1:20" x14ac:dyDescent="0.3">
      <c r="A116" s="18" t="s">
        <v>435</v>
      </c>
      <c r="C116" s="18" t="s">
        <v>436</v>
      </c>
      <c r="E116" s="18" t="s">
        <v>437</v>
      </c>
      <c r="T116" t="str">
        <f>IF(AND('Raw Data'!G116=$B$17,'Raw Data'!K116=$E$17,'Raw Data'!N116&gt;=$B$18),SUMPRODUCT(('Raw Data'!$G$2:$G116=$B$17)*('Raw Data'!$K$2:$K116=$E$17)*('Raw Data'!$N$2:$N116&gt;=$B$18)),"")</f>
        <v/>
      </c>
    </row>
    <row r="117" spans="1:20" x14ac:dyDescent="0.3">
      <c r="A117" s="14" t="str">
        <f>IFERROR(INDEX($B$46:$B$95,MATCH(1,$G$46:$G$95,0)),"")</f>
        <v>Mark Carter</v>
      </c>
      <c r="C117" s="14" t="str">
        <f>IFERROR(INDEX($B$46:$B$95,MATCH(1,$U$46:$U$95,0)),"")</f>
        <v>Emma Wilson</v>
      </c>
      <c r="E117" s="19" t="str">
        <f t="shared" ref="E117:E126" si="6">IF(A117="","",IF(COUNTIF($C$117:$C$136,A117)&gt;0,"✔ Match","—"))</f>
        <v>✔ Match</v>
      </c>
      <c r="T117" t="str">
        <f>IF(AND('Raw Data'!G117=$B$17,'Raw Data'!K117=$E$17,'Raw Data'!N117&gt;=$B$18),SUMPRODUCT(('Raw Data'!$G$2:$G117=$B$17)*('Raw Data'!$K$2:$K117=$E$17)*('Raw Data'!$N$2:$N117&gt;=$B$18)),"")</f>
        <v/>
      </c>
    </row>
    <row r="118" spans="1:20" x14ac:dyDescent="0.3">
      <c r="A118" s="14" t="str">
        <f>IFERROR(INDEX($B$46:$B$95,MATCH(2,$G$46:$G$95,0)),"")</f>
        <v>Edward Mitchell</v>
      </c>
      <c r="C118" s="14" t="str">
        <f>IFERROR(INDEX($B$46:$B$95,MATCH(2,$U$46:$U$95,0)),"")</f>
        <v>Michael Brown</v>
      </c>
      <c r="E118" s="19" t="str">
        <f t="shared" si="6"/>
        <v>—</v>
      </c>
      <c r="T118">
        <f>IF(AND('Raw Data'!G118=$B$17,'Raw Data'!K118=$E$17,'Raw Data'!N118&gt;=$B$18),SUMPRODUCT(('Raw Data'!$G$2:$G118=$B$17)*('Raw Data'!$K$2:$K118=$E$17)*('Raw Data'!$N$2:$N118&gt;=$B$18)),"")</f>
        <v>9</v>
      </c>
    </row>
    <row r="119" spans="1:20" x14ac:dyDescent="0.3">
      <c r="A119" s="14" t="str">
        <f>IFERROR(INDEX($B$46:$B$95,MATCH(3,$G$46:$G$95,0)),"")</f>
        <v>Barbara Young</v>
      </c>
      <c r="C119" s="14" t="str">
        <f>IFERROR(INDEX($B$46:$B$95,MATCH(3,$U$46:$U$95,0)),"")</f>
        <v>James Johnson</v>
      </c>
      <c r="E119" s="19" t="str">
        <f t="shared" si="6"/>
        <v>—</v>
      </c>
      <c r="T119" t="str">
        <f>IF(AND('Raw Data'!G119=$B$17,'Raw Data'!K119=$E$17,'Raw Data'!N119&gt;=$B$18),SUMPRODUCT(('Raw Data'!$G$2:$G119=$B$17)*('Raw Data'!$K$2:$K119=$E$17)*('Raw Data'!$N$2:$N119&gt;=$B$18)),"")</f>
        <v/>
      </c>
    </row>
    <row r="120" spans="1:20" x14ac:dyDescent="0.3">
      <c r="A120" s="14" t="str">
        <f>IFERROR(INDEX($B$46:$B$95,MATCH(4,$G$46:$G$95,0)),"")</f>
        <v>Patricia Moore</v>
      </c>
      <c r="C120" s="14" t="str">
        <f>IFERROR(INDEX($B$46:$B$95,MATCH(4,$U$46:$U$95,0)),"")</f>
        <v>Joseph Jackson</v>
      </c>
      <c r="E120" s="19" t="str">
        <f t="shared" si="6"/>
        <v>—</v>
      </c>
      <c r="T120" t="str">
        <f>IF(AND('Raw Data'!G120=$B$17,'Raw Data'!K120=$E$17,'Raw Data'!N120&gt;=$B$18),SUMPRODUCT(('Raw Data'!$G$2:$G120=$B$17)*('Raw Data'!$K$2:$K120=$E$17)*('Raw Data'!$N$2:$N120&gt;=$B$18)),"")</f>
        <v/>
      </c>
    </row>
    <row r="121" spans="1:20" x14ac:dyDescent="0.3">
      <c r="A121" s="14" t="str">
        <f>IFERROR(INDEX($B$46:$B$95,MATCH(5,$G$46:$G$95,0)),"")</f>
        <v>Paul Baker</v>
      </c>
      <c r="C121" s="14" t="str">
        <f>IFERROR(INDEX($B$46:$B$95,MATCH(5,$U$46:$U$95,0)),"")</f>
        <v>Linda Martin</v>
      </c>
      <c r="E121" s="19" t="str">
        <f t="shared" si="6"/>
        <v>—</v>
      </c>
      <c r="T121" t="str">
        <f>IF(AND('Raw Data'!G121=$B$17,'Raw Data'!K121=$E$17,'Raw Data'!N121&gt;=$B$18),SUMPRODUCT(('Raw Data'!$G$2:$G121=$B$17)*('Raw Data'!$K$2:$K121=$E$17)*('Raw Data'!$N$2:$N121&gt;=$B$18)),"")</f>
        <v/>
      </c>
    </row>
    <row r="122" spans="1:20" x14ac:dyDescent="0.3">
      <c r="A122" s="14" t="str">
        <f>IFERROR(INDEX($B$46:$B$95,MATCH(6,$G$46:$G$95,0)),"")</f>
        <v>Dorothy Nelson</v>
      </c>
      <c r="C122" s="14" t="str">
        <f>IFERROR(INDEX($B$46:$B$95,MATCH(6,$U$46:$U$95,0)),"")</f>
        <v>Mark Carter</v>
      </c>
      <c r="E122" s="19" t="str">
        <f t="shared" si="6"/>
        <v>—</v>
      </c>
      <c r="T122" t="str">
        <f>IF(AND('Raw Data'!G122=$B$17,'Raw Data'!K122=$E$17,'Raw Data'!N122&gt;=$B$18),SUMPRODUCT(('Raw Data'!$G$2:$G122=$B$17)*('Raw Data'!$K$2:$K122=$E$17)*('Raw Data'!$N$2:$N122&gt;=$B$18)),"")</f>
        <v/>
      </c>
    </row>
    <row r="123" spans="1:20" x14ac:dyDescent="0.3">
      <c r="A123" s="14" t="str">
        <f>IFERROR(INDEX($B$46:$B$95,MATCH(7,$G$46:$G$95,0)),"")</f>
        <v>Karen Hill</v>
      </c>
      <c r="C123" s="14" t="str">
        <f>IFERROR(INDEX($B$46:$B$95,MATCH(7,$U$46:$U$95,0)),"")</f>
        <v>Karen Hill</v>
      </c>
      <c r="E123" s="19" t="str">
        <f t="shared" si="6"/>
        <v>✔ Match</v>
      </c>
      <c r="T123" t="str">
        <f>IF(AND('Raw Data'!G123=$B$17,'Raw Data'!K123=$E$17,'Raw Data'!N123&gt;=$B$18),SUMPRODUCT(('Raw Data'!$G$2:$G123=$B$17)*('Raw Data'!$K$2:$K123=$E$17)*('Raw Data'!$N$2:$N123&gt;=$B$18)),"")</f>
        <v/>
      </c>
    </row>
    <row r="124" spans="1:20" x14ac:dyDescent="0.3">
      <c r="A124" s="14" t="str">
        <f>IFERROR(INDEX($B$46:$B$95,MATCH(8,$G$46:$G$95,0)),"")</f>
        <v>Daniel King</v>
      </c>
      <c r="C124" s="14" t="str">
        <f>IFERROR(INDEX($B$46:$B$95,MATCH(8,$U$46:$U$95,0)),"")</f>
        <v>Steven Turner</v>
      </c>
      <c r="E124" s="19" t="str">
        <f t="shared" si="6"/>
        <v>—</v>
      </c>
      <c r="T124">
        <f>IF(AND('Raw Data'!G124=$B$17,'Raw Data'!K124=$E$17,'Raw Data'!N124&gt;=$B$18),SUMPRODUCT(('Raw Data'!$G$2:$G124=$B$17)*('Raw Data'!$K$2:$K124=$E$17)*('Raw Data'!$N$2:$N124&gt;=$B$18)),"")</f>
        <v>10</v>
      </c>
    </row>
    <row r="125" spans="1:20" x14ac:dyDescent="0.3">
      <c r="A125" s="14" t="str">
        <f>IFERROR(INDEX($B$46:$B$95,MATCH(9,$G$46:$G$95,0)),"")</f>
        <v>Lawrence Reed</v>
      </c>
      <c r="C125" s="14" t="str">
        <f>IFERROR(INDEX($B$46:$B$95,MATCH(9,$U$46:$U$95,0)),"")</f>
        <v>Sandra Phillips</v>
      </c>
      <c r="E125" s="19" t="str">
        <f t="shared" si="6"/>
        <v>✔ Match</v>
      </c>
      <c r="T125" t="str">
        <f>IF(AND('Raw Data'!G125=$B$17,'Raw Data'!K125=$E$17,'Raw Data'!N125&gt;=$B$18),SUMPRODUCT(('Raw Data'!$G$2:$G125=$B$17)*('Raw Data'!$K$2:$K125=$E$17)*('Raw Data'!$N$2:$N125&gt;=$B$18)),"")</f>
        <v/>
      </c>
    </row>
    <row r="126" spans="1:20" x14ac:dyDescent="0.3">
      <c r="A126" s="14" t="str">
        <f>IFERROR(INDEX($B$46:$B$95,MATCH(10,$G$46:$G$95,0)),"")</f>
        <v>Joseph Jackson</v>
      </c>
      <c r="C126" s="14" t="str">
        <f>IFERROR(INDEX($B$46:$B$95,MATCH(10,$U$46:$U$95,0)),"")</f>
        <v>Frank Torres</v>
      </c>
      <c r="E126" s="19" t="str">
        <f t="shared" si="6"/>
        <v>✔ Match</v>
      </c>
      <c r="T126" t="str">
        <f>IF(AND('Raw Data'!G126=$B$17,'Raw Data'!K126=$E$17,'Raw Data'!N126&gt;=$B$18),SUMPRODUCT(('Raw Data'!$G$2:$G126=$B$17)*('Raw Data'!$K$2:$K126=$E$17)*('Raw Data'!$N$2:$N126&gt;=$B$18)),"")</f>
        <v/>
      </c>
    </row>
    <row r="127" spans="1:20" x14ac:dyDescent="0.3">
      <c r="C127" s="14" t="str">
        <f>IFERROR(INDEX($B$46:$B$95,MATCH(11,$U$46:$U$95,0)),"")</f>
        <v>Carol Evans</v>
      </c>
      <c r="T127" t="str">
        <f>IF(AND('Raw Data'!G127=$B$17,'Raw Data'!K127=$E$17,'Raw Data'!N127&gt;=$B$18),SUMPRODUCT(('Raw Data'!$G$2:$G127=$B$17)*('Raw Data'!$K$2:$K127=$E$17)*('Raw Data'!$N$2:$N127&gt;=$B$18)),"")</f>
        <v/>
      </c>
    </row>
    <row r="128" spans="1:20" x14ac:dyDescent="0.3">
      <c r="C128" s="14" t="str">
        <f>IFERROR(INDEX($B$46:$B$95,MATCH(12,$U$46:$U$95,0)),"")</f>
        <v>Harry Morgan</v>
      </c>
      <c r="T128" t="str">
        <f>IF(AND('Raw Data'!G128=$B$17,'Raw Data'!K128=$E$17,'Raw Data'!N128&gt;=$B$18),SUMPRODUCT(('Raw Data'!$G$2:$G128=$B$17)*('Raw Data'!$K$2:$K128=$E$17)*('Raw Data'!$N$2:$N128&gt;=$B$18)),"")</f>
        <v/>
      </c>
    </row>
    <row r="129" spans="1:20" x14ac:dyDescent="0.3">
      <c r="C129" s="14" t="str">
        <f>IFERROR(INDEX($B$46:$B$95,MATCH(13,$U$46:$U$95,0)),"")</f>
        <v>Lawrence Reed</v>
      </c>
      <c r="T129" t="str">
        <f>IF(AND('Raw Data'!G129=$B$17,'Raw Data'!K129=$E$17,'Raw Data'!N129&gt;=$B$18),SUMPRODUCT(('Raw Data'!$G$2:$G129=$B$17)*('Raw Data'!$K$2:$K129=$E$17)*('Raw Data'!$N$2:$N129&gt;=$B$18)),"")</f>
        <v/>
      </c>
    </row>
    <row r="130" spans="1:20" x14ac:dyDescent="0.3">
      <c r="C130" s="14" t="str">
        <f>IFERROR(INDEX($B$46:$B$95,MATCH(14,$U$46:$U$95,0)),"")</f>
        <v>Peter Richardson</v>
      </c>
      <c r="T130" t="str">
        <f>IF(AND('Raw Data'!G130=$B$17,'Raw Data'!K130=$E$17,'Raw Data'!N130&gt;=$B$18),SUMPRODUCT(('Raw Data'!$G$2:$G130=$B$17)*('Raw Data'!$K$2:$K130=$E$17)*('Raw Data'!$N$2:$N130&gt;=$B$18)),"")</f>
        <v/>
      </c>
    </row>
    <row r="131" spans="1:20" x14ac:dyDescent="0.3">
      <c r="C131" s="14" t="str">
        <f>IFERROR(INDEX($B$46:$B$95,MATCH(15,$U$46:$U$95,0)),"")</f>
        <v>Kathleen Bennett</v>
      </c>
      <c r="T131" t="str">
        <f>IF(AND('Raw Data'!G131=$B$17,'Raw Data'!K131=$E$17,'Raw Data'!N131&gt;=$B$18),SUMPRODUCT(('Raw Data'!$G$2:$G131=$B$17)*('Raw Data'!$K$2:$K131=$E$17)*('Raw Data'!$N$2:$N131&gt;=$B$18)),"")</f>
        <v/>
      </c>
    </row>
    <row r="132" spans="1:20" x14ac:dyDescent="0.3">
      <c r="C132" s="14" t="str">
        <f>IFERROR(INDEX($B$46:$B$95,MATCH(16,$U$46:$U$95,0)),"")</f>
        <v>Virginia Sanders</v>
      </c>
      <c r="T132" t="str">
        <f>IF(AND('Raw Data'!G132=$B$17,'Raw Data'!K132=$E$17,'Raw Data'!N132&gt;=$B$18),SUMPRODUCT(('Raw Data'!$G$2:$G132=$B$17)*('Raw Data'!$K$2:$K132=$E$17)*('Raw Data'!$N$2:$N132&gt;=$B$18)),"")</f>
        <v/>
      </c>
    </row>
    <row r="133" spans="1:20" x14ac:dyDescent="0.3">
      <c r="C133" s="14" t="str">
        <f>IFERROR(INDEX($B$46:$B$95,MATCH(17,$U$46:$U$95,0)),"")</f>
        <v/>
      </c>
      <c r="T133" t="str">
        <f>IF(AND('Raw Data'!G133=$B$17,'Raw Data'!K133=$E$17,'Raw Data'!N133&gt;=$B$18),SUMPRODUCT(('Raw Data'!$G$2:$G133=$B$17)*('Raw Data'!$K$2:$K133=$E$17)*('Raw Data'!$N$2:$N133&gt;=$B$18)),"")</f>
        <v/>
      </c>
    </row>
    <row r="134" spans="1:20" x14ac:dyDescent="0.3">
      <c r="C134" s="14" t="str">
        <f>IFERROR(INDEX($B$46:$B$95,MATCH(18,$U$46:$U$95,0)),"")</f>
        <v/>
      </c>
      <c r="T134" t="str">
        <f>IF(AND('Raw Data'!G134=$B$17,'Raw Data'!K134=$E$17,'Raw Data'!N134&gt;=$B$18),SUMPRODUCT(('Raw Data'!$G$2:$G134=$B$17)*('Raw Data'!$K$2:$K134=$E$17)*('Raw Data'!$N$2:$N134&gt;=$B$18)),"")</f>
        <v/>
      </c>
    </row>
    <row r="135" spans="1:20" x14ac:dyDescent="0.3">
      <c r="C135" s="14" t="str">
        <f>IFERROR(INDEX($B$46:$B$95,MATCH(19,$U$46:$U$95,0)),"")</f>
        <v/>
      </c>
      <c r="T135" t="str">
        <f>IF(AND('Raw Data'!G135=$B$17,'Raw Data'!K135=$E$17,'Raw Data'!N135&gt;=$B$18),SUMPRODUCT(('Raw Data'!$G$2:$G135=$B$17)*('Raw Data'!$K$2:$K135=$E$17)*('Raw Data'!$N$2:$N135&gt;=$B$18)),"")</f>
        <v/>
      </c>
    </row>
    <row r="136" spans="1:20" x14ac:dyDescent="0.3">
      <c r="C136" s="14" t="str">
        <f>IFERROR(INDEX($B$46:$B$95,MATCH(20,$U$46:$U$95,0)),"")</f>
        <v/>
      </c>
      <c r="T136">
        <f>IF(AND('Raw Data'!G136=$B$17,'Raw Data'!K136=$E$17,'Raw Data'!N136&gt;=$B$18),SUMPRODUCT(('Raw Data'!$G$2:$G136=$B$17)*('Raw Data'!$K$2:$K136=$E$17)*('Raw Data'!$N$2:$N136&gt;=$B$18)),"")</f>
        <v>11</v>
      </c>
    </row>
    <row r="137" spans="1:20" x14ac:dyDescent="0.3">
      <c r="T137" t="str">
        <f>IF(AND('Raw Data'!G137=$B$17,'Raw Data'!K137=$E$17,'Raw Data'!N137&gt;=$B$18),SUMPRODUCT(('Raw Data'!$G$2:$G137=$B$17)*('Raw Data'!$K$2:$K137=$E$17)*('Raw Data'!$N$2:$N137&gt;=$B$18)),"")</f>
        <v/>
      </c>
    </row>
    <row r="138" spans="1:20" x14ac:dyDescent="0.3">
      <c r="A138" s="37" t="s">
        <v>438</v>
      </c>
      <c r="B138" s="37"/>
      <c r="C138" s="37"/>
      <c r="D138" s="37"/>
      <c r="E138" s="37"/>
      <c r="F138" s="37"/>
      <c r="T138" t="str">
        <f>IF(AND('Raw Data'!G138=$B$17,'Raw Data'!K138=$E$17,'Raw Data'!N138&gt;=$B$18),SUMPRODUCT(('Raw Data'!$G$2:$G138=$B$17)*('Raw Data'!$K$2:$K138=$E$17)*('Raw Data'!$N$2:$N138&gt;=$B$18)),"")</f>
        <v/>
      </c>
    </row>
    <row r="139" spans="1:20" x14ac:dyDescent="0.3">
      <c r="T139" t="str">
        <f>IF(AND('Raw Data'!G139=$B$17,'Raw Data'!K139=$E$17,'Raw Data'!N139&gt;=$B$18),SUMPRODUCT(('Raw Data'!$G$2:$G139=$B$17)*('Raw Data'!$K$2:$K139=$E$17)*('Raw Data'!$N$2:$N139&gt;=$B$18)),"")</f>
        <v/>
      </c>
    </row>
    <row r="140" spans="1:20" ht="19.5" customHeight="1" x14ac:dyDescent="0.3">
      <c r="A140" s="36" t="s">
        <v>439</v>
      </c>
      <c r="B140" s="36"/>
      <c r="C140" s="36"/>
      <c r="D140" s="36"/>
      <c r="E140" s="36"/>
      <c r="F140" s="36"/>
      <c r="G140" s="36"/>
      <c r="H140" s="36"/>
      <c r="I140" s="36"/>
      <c r="T140" t="str">
        <f>IF(AND('Raw Data'!G140=$B$17,'Raw Data'!K140=$E$17,'Raw Data'!N140&gt;=$B$18),SUMPRODUCT(('Raw Data'!$G$2:$G140=$B$17)*('Raw Data'!$K$2:$K140=$E$17)*('Raw Data'!$N$2:$N140&gt;=$B$18)),"")</f>
        <v/>
      </c>
    </row>
    <row r="141" spans="1:20" x14ac:dyDescent="0.3">
      <c r="A141" s="13" t="s">
        <v>0</v>
      </c>
      <c r="B141" s="13" t="s">
        <v>3</v>
      </c>
      <c r="C141" s="13" t="s">
        <v>440</v>
      </c>
      <c r="D141" s="13" t="s">
        <v>10</v>
      </c>
      <c r="E141" s="13" t="s">
        <v>441</v>
      </c>
      <c r="F141" s="13" t="s">
        <v>5</v>
      </c>
      <c r="G141" s="13" t="s">
        <v>442</v>
      </c>
      <c r="H141" s="13" t="s">
        <v>443</v>
      </c>
      <c r="T141" t="str">
        <f>IF(AND('Raw Data'!G141=$B$17,'Raw Data'!K141=$E$17,'Raw Data'!N141&gt;=$B$18),SUMPRODUCT(('Raw Data'!$G$2:$G141=$B$17)*('Raw Data'!$K$2:$K141=$E$17)*('Raw Data'!$N$2:$N141&gt;=$B$18)),"")</f>
        <v/>
      </c>
    </row>
    <row r="142" spans="1:20" x14ac:dyDescent="0.3">
      <c r="A142" s="14" t="str">
        <f>'Raw Data'!A2</f>
        <v>TRX0155</v>
      </c>
      <c r="B142" s="14" t="str">
        <f>'Raw Data'!D2</f>
        <v>Paul Baker</v>
      </c>
      <c r="C142" s="14" t="str">
        <f t="shared" ref="C142:C156" si="7">UPPER(LEFT(B142,1))&amp;UPPER(LEFT(MID(B142,FIND(" ",B142)+1,50),1))</f>
        <v>PB</v>
      </c>
      <c r="D142" s="14" t="str">
        <f>'Raw Data'!K2</f>
        <v>Central</v>
      </c>
      <c r="E142" s="14" t="str">
        <f t="shared" ref="E142:E156" si="8">UPPER(LEFT(D142,3))</f>
        <v>CEN</v>
      </c>
      <c r="F142" s="14" t="str">
        <f>'Raw Data'!F2</f>
        <v>Monitor</v>
      </c>
      <c r="G142" s="14" t="str">
        <f t="shared" ref="G142:G156" si="9">UPPER(LEFT(SUBSTITUTE(F142," ",""),4))</f>
        <v>MONI</v>
      </c>
      <c r="H142" s="14" t="str">
        <f t="shared" ref="H142:H156" si="10">"TXN-"&amp;TEXT(ROW()-142+1,"000")&amp;"-"&amp;E142&amp;"-"&amp;G142&amp;"-"&amp;C142</f>
        <v>TXN-001-CEN-MONI-PB</v>
      </c>
      <c r="T142" t="str">
        <f>IF(AND('Raw Data'!G142=$B$17,'Raw Data'!K142=$E$17,'Raw Data'!N142&gt;=$B$18),SUMPRODUCT(('Raw Data'!$G$2:$G142=$B$17)*('Raw Data'!$K$2:$K142=$E$17)*('Raw Data'!$N$2:$N142&gt;=$B$18)),"")</f>
        <v/>
      </c>
    </row>
    <row r="143" spans="1:20" x14ac:dyDescent="0.3">
      <c r="A143" s="14" t="str">
        <f>'Raw Data'!A3</f>
        <v>TRX0023</v>
      </c>
      <c r="B143" s="14" t="str">
        <f>'Raw Data'!D3</f>
        <v>Joseph Jackson</v>
      </c>
      <c r="C143" s="14" t="str">
        <f t="shared" si="7"/>
        <v>JJ</v>
      </c>
      <c r="D143" s="14" t="str">
        <f>'Raw Data'!K3</f>
        <v>Central</v>
      </c>
      <c r="E143" s="14" t="str">
        <f t="shared" si="8"/>
        <v>CEN</v>
      </c>
      <c r="F143" s="14" t="str">
        <f>'Raw Data'!F3</f>
        <v>Monitor</v>
      </c>
      <c r="G143" s="14" t="str">
        <f t="shared" si="9"/>
        <v>MONI</v>
      </c>
      <c r="H143" s="14" t="str">
        <f t="shared" si="10"/>
        <v>TXN-002-CEN-MONI-JJ</v>
      </c>
      <c r="T143" t="str">
        <f>IF(AND('Raw Data'!G143=$B$17,'Raw Data'!K143=$E$17,'Raw Data'!N143&gt;=$B$18),SUMPRODUCT(('Raw Data'!$G$2:$G143=$B$17)*('Raw Data'!$K$2:$K143=$E$17)*('Raw Data'!$N$2:$N143&gt;=$B$18)),"")</f>
        <v/>
      </c>
    </row>
    <row r="144" spans="1:20" x14ac:dyDescent="0.3">
      <c r="A144" s="14" t="str">
        <f>'Raw Data'!A4</f>
        <v>TRX0139</v>
      </c>
      <c r="B144" s="14" t="str">
        <f>'Raw Data'!D4</f>
        <v>Kevin Scott</v>
      </c>
      <c r="C144" s="14" t="str">
        <f t="shared" si="7"/>
        <v>KS</v>
      </c>
      <c r="D144" s="14" t="str">
        <f>'Raw Data'!K4</f>
        <v>South</v>
      </c>
      <c r="E144" s="14" t="str">
        <f t="shared" si="8"/>
        <v>SOU</v>
      </c>
      <c r="F144" s="14" t="str">
        <f>'Raw Data'!F4</f>
        <v>Blender</v>
      </c>
      <c r="G144" s="14" t="str">
        <f t="shared" si="9"/>
        <v>BLEN</v>
      </c>
      <c r="H144" s="14" t="str">
        <f t="shared" si="10"/>
        <v>TXN-003-SOU-BLEN-KS</v>
      </c>
      <c r="T144" t="str">
        <f>IF(AND('Raw Data'!G144=$B$17,'Raw Data'!K144=$E$17,'Raw Data'!N144&gt;=$B$18),SUMPRODUCT(('Raw Data'!$G$2:$G144=$B$17)*('Raw Data'!$K$2:$K144=$E$17)*('Raw Data'!$N$2:$N144&gt;=$B$18)),"")</f>
        <v/>
      </c>
    </row>
    <row r="145" spans="1:20" x14ac:dyDescent="0.3">
      <c r="A145" s="14" t="str">
        <f>'Raw Data'!A5</f>
        <v>TRX0043</v>
      </c>
      <c r="B145" s="14" t="str">
        <f>'Raw Data'!D5</f>
        <v>Kathleen Bennett</v>
      </c>
      <c r="C145" s="14" t="str">
        <f t="shared" si="7"/>
        <v>KB</v>
      </c>
      <c r="D145" s="14" t="str">
        <f>'Raw Data'!K5</f>
        <v>North</v>
      </c>
      <c r="E145" s="14" t="str">
        <f t="shared" si="8"/>
        <v>NOR</v>
      </c>
      <c r="F145" s="14" t="str">
        <f>'Raw Data'!F5</f>
        <v>Blender</v>
      </c>
      <c r="G145" s="14" t="str">
        <f t="shared" si="9"/>
        <v>BLEN</v>
      </c>
      <c r="H145" s="14" t="str">
        <f t="shared" si="10"/>
        <v>TXN-004-NOR-BLEN-KB</v>
      </c>
      <c r="T145" t="str">
        <f>IF(AND('Raw Data'!G145=$B$17,'Raw Data'!K145=$E$17,'Raw Data'!N145&gt;=$B$18),SUMPRODUCT(('Raw Data'!$G$2:$G145=$B$17)*('Raw Data'!$K$2:$K145=$E$17)*('Raw Data'!$N$2:$N145&gt;=$B$18)),"")</f>
        <v/>
      </c>
    </row>
    <row r="146" spans="1:20" x14ac:dyDescent="0.3">
      <c r="A146" s="14" t="str">
        <f>'Raw Data'!A6</f>
        <v>TRX0212</v>
      </c>
      <c r="B146" s="14" t="str">
        <f>'Raw Data'!D6</f>
        <v>Michael Brown</v>
      </c>
      <c r="C146" s="14" t="str">
        <f t="shared" si="7"/>
        <v>MB</v>
      </c>
      <c r="D146" s="14" t="str">
        <f>'Raw Data'!K6</f>
        <v>North</v>
      </c>
      <c r="E146" s="14" t="str">
        <f t="shared" si="8"/>
        <v>NOR</v>
      </c>
      <c r="F146" s="14" t="str">
        <f>'Raw Data'!F6</f>
        <v>Bookshelf</v>
      </c>
      <c r="G146" s="14" t="str">
        <f t="shared" si="9"/>
        <v>BOOK</v>
      </c>
      <c r="H146" s="14" t="str">
        <f t="shared" si="10"/>
        <v>TXN-005-NOR-BOOK-MB</v>
      </c>
      <c r="T146" t="str">
        <f>IF(AND('Raw Data'!G146=$B$17,'Raw Data'!K146=$E$17,'Raw Data'!N146&gt;=$B$18),SUMPRODUCT(('Raw Data'!$G$2:$G146=$B$17)*('Raw Data'!$K$2:$K146=$E$17)*('Raw Data'!$N$2:$N146&gt;=$B$18)),"")</f>
        <v/>
      </c>
    </row>
    <row r="147" spans="1:20" x14ac:dyDescent="0.3">
      <c r="A147" s="14" t="str">
        <f>'Raw Data'!A7</f>
        <v>TRX0092</v>
      </c>
      <c r="B147" s="14" t="str">
        <f>'Raw Data'!D7</f>
        <v>Dorothy Nelson</v>
      </c>
      <c r="C147" s="14" t="str">
        <f t="shared" si="7"/>
        <v>DN</v>
      </c>
      <c r="D147" s="14" t="str">
        <f>'Raw Data'!K7</f>
        <v>West</v>
      </c>
      <c r="E147" s="14" t="str">
        <f t="shared" si="8"/>
        <v>WES</v>
      </c>
      <c r="F147" s="14" t="str">
        <f>'Raw Data'!F7</f>
        <v>Blender</v>
      </c>
      <c r="G147" s="14" t="str">
        <f t="shared" si="9"/>
        <v>BLEN</v>
      </c>
      <c r="H147" s="14" t="str">
        <f t="shared" si="10"/>
        <v>TXN-006-WES-BLEN-DN</v>
      </c>
      <c r="T147" t="str">
        <f>IF(AND('Raw Data'!G147=$B$17,'Raw Data'!K147=$E$17,'Raw Data'!N147&gt;=$B$18),SUMPRODUCT(('Raw Data'!$G$2:$G147=$B$17)*('Raw Data'!$K$2:$K147=$E$17)*('Raw Data'!$N$2:$N147&gt;=$B$18)),"")</f>
        <v/>
      </c>
    </row>
    <row r="148" spans="1:20" x14ac:dyDescent="0.3">
      <c r="A148" s="14" t="str">
        <f>'Raw Data'!A8</f>
        <v>TRX0193</v>
      </c>
      <c r="B148" s="14" t="str">
        <f>'Raw Data'!D8</f>
        <v>Dorothy Nelson</v>
      </c>
      <c r="C148" s="14" t="str">
        <f t="shared" si="7"/>
        <v>DN</v>
      </c>
      <c r="D148" s="14" t="str">
        <f>'Raw Data'!K8</f>
        <v>Central</v>
      </c>
      <c r="E148" s="14" t="str">
        <f t="shared" si="8"/>
        <v>CEN</v>
      </c>
      <c r="F148" s="14" t="str">
        <f>'Raw Data'!F8</f>
        <v>Headphones</v>
      </c>
      <c r="G148" s="14" t="str">
        <f t="shared" si="9"/>
        <v>HEAD</v>
      </c>
      <c r="H148" s="14" t="str">
        <f t="shared" si="10"/>
        <v>TXN-007-CEN-HEAD-DN</v>
      </c>
      <c r="T148" t="str">
        <f>IF(AND('Raw Data'!G148=$B$17,'Raw Data'!K148=$E$17,'Raw Data'!N148&gt;=$B$18),SUMPRODUCT(('Raw Data'!$G$2:$G148=$B$17)*('Raw Data'!$K$2:$K148=$E$17)*('Raw Data'!$N$2:$N148&gt;=$B$18)),"")</f>
        <v/>
      </c>
    </row>
    <row r="149" spans="1:20" x14ac:dyDescent="0.3">
      <c r="A149" s="14" t="str">
        <f>'Raw Data'!A9</f>
        <v>TRX0240</v>
      </c>
      <c r="B149" s="14" t="str">
        <f>'Raw Data'!D9</f>
        <v>Charles Allen</v>
      </c>
      <c r="C149" s="14" t="str">
        <f t="shared" si="7"/>
        <v>CA</v>
      </c>
      <c r="D149" s="14" t="str">
        <f>'Raw Data'!K9</f>
        <v>South</v>
      </c>
      <c r="E149" s="14" t="str">
        <f t="shared" si="8"/>
        <v>SOU</v>
      </c>
      <c r="F149" s="14" t="str">
        <f>'Raw Data'!F9</f>
        <v>Blender</v>
      </c>
      <c r="G149" s="14" t="str">
        <f t="shared" si="9"/>
        <v>BLEN</v>
      </c>
      <c r="H149" s="14" t="str">
        <f t="shared" si="10"/>
        <v>TXN-008-SOU-BLEN-CA</v>
      </c>
      <c r="T149" t="str">
        <f>IF(AND('Raw Data'!G149=$B$17,'Raw Data'!K149=$E$17,'Raw Data'!N149&gt;=$B$18),SUMPRODUCT(('Raw Data'!$G$2:$G149=$B$17)*('Raw Data'!$K$2:$K149=$E$17)*('Raw Data'!$N$2:$N149&gt;=$B$18)),"")</f>
        <v/>
      </c>
    </row>
    <row r="150" spans="1:20" x14ac:dyDescent="0.3">
      <c r="A150" s="14" t="str">
        <f>'Raw Data'!A10</f>
        <v>TRX0135</v>
      </c>
      <c r="B150" s="14" t="str">
        <f>'Raw Data'!D10</f>
        <v>Robert Thomas</v>
      </c>
      <c r="C150" s="14" t="str">
        <f t="shared" si="7"/>
        <v>RT</v>
      </c>
      <c r="D150" s="14" t="str">
        <f>'Raw Data'!K10</f>
        <v>East</v>
      </c>
      <c r="E150" s="14" t="str">
        <f t="shared" si="8"/>
        <v>EAS</v>
      </c>
      <c r="F150" s="14" t="str">
        <f>'Raw Data'!F10</f>
        <v>Laptop</v>
      </c>
      <c r="G150" s="14" t="str">
        <f t="shared" si="9"/>
        <v>LAPT</v>
      </c>
      <c r="H150" s="14" t="str">
        <f t="shared" si="10"/>
        <v>TXN-009-EAS-LAPT-RT</v>
      </c>
      <c r="T150" t="str">
        <f>IF(AND('Raw Data'!G150=$B$17,'Raw Data'!K150=$E$17,'Raw Data'!N150&gt;=$B$18),SUMPRODUCT(('Raw Data'!$G$2:$G150=$B$17)*('Raw Data'!$K$2:$K150=$E$17)*('Raw Data'!$N$2:$N150&gt;=$B$18)),"")</f>
        <v/>
      </c>
    </row>
    <row r="151" spans="1:20" x14ac:dyDescent="0.3">
      <c r="A151" s="14" t="str">
        <f>'Raw Data'!A11</f>
        <v>TRX0185</v>
      </c>
      <c r="B151" s="14" t="str">
        <f>'Raw Data'!D11</f>
        <v>Karen Hill</v>
      </c>
      <c r="C151" s="14" t="str">
        <f t="shared" si="7"/>
        <v>KH</v>
      </c>
      <c r="D151" s="14" t="str">
        <f>'Raw Data'!K11</f>
        <v>West</v>
      </c>
      <c r="E151" s="14" t="str">
        <f t="shared" si="8"/>
        <v>WES</v>
      </c>
      <c r="F151" s="14" t="str">
        <f>'Raw Data'!F11</f>
        <v>Blender</v>
      </c>
      <c r="G151" s="14" t="str">
        <f t="shared" si="9"/>
        <v>BLEN</v>
      </c>
      <c r="H151" s="14" t="str">
        <f t="shared" si="10"/>
        <v>TXN-010-WES-BLEN-KH</v>
      </c>
      <c r="T151" t="str">
        <f>IF(AND('Raw Data'!G151=$B$17,'Raw Data'!K151=$E$17,'Raw Data'!N151&gt;=$B$18),SUMPRODUCT(('Raw Data'!$G$2:$G151=$B$17)*('Raw Data'!$K$2:$K151=$E$17)*('Raw Data'!$N$2:$N151&gt;=$B$18)),"")</f>
        <v/>
      </c>
    </row>
    <row r="152" spans="1:20" x14ac:dyDescent="0.3">
      <c r="A152" s="14" t="str">
        <f>'Raw Data'!A12</f>
        <v>TRX0138</v>
      </c>
      <c r="B152" s="14" t="str">
        <f>'Raw Data'!D12</f>
        <v>Susan Green</v>
      </c>
      <c r="C152" s="14" t="str">
        <f t="shared" si="7"/>
        <v>SG</v>
      </c>
      <c r="D152" s="14" t="str">
        <f>'Raw Data'!K12</f>
        <v>West</v>
      </c>
      <c r="E152" s="14" t="str">
        <f t="shared" si="8"/>
        <v>WES</v>
      </c>
      <c r="F152" s="14" t="str">
        <f>'Raw Data'!F12</f>
        <v>Bookshelf</v>
      </c>
      <c r="G152" s="14" t="str">
        <f t="shared" si="9"/>
        <v>BOOK</v>
      </c>
      <c r="H152" s="14" t="str">
        <f t="shared" si="10"/>
        <v>TXN-011-WES-BOOK-SG</v>
      </c>
      <c r="T152" t="str">
        <f>IF(AND('Raw Data'!G152=$B$17,'Raw Data'!K152=$E$17,'Raw Data'!N152&gt;=$B$18),SUMPRODUCT(('Raw Data'!$G$2:$G152=$B$17)*('Raw Data'!$K$2:$K152=$E$17)*('Raw Data'!$N$2:$N152&gt;=$B$18)),"")</f>
        <v/>
      </c>
    </row>
    <row r="153" spans="1:20" x14ac:dyDescent="0.3">
      <c r="A153" s="14" t="str">
        <f>'Raw Data'!A13</f>
        <v>TRX0209</v>
      </c>
      <c r="B153" s="14" t="str">
        <f>'Raw Data'!D13</f>
        <v>Kathleen Bennett</v>
      </c>
      <c r="C153" s="14" t="str">
        <f t="shared" si="7"/>
        <v>KB</v>
      </c>
      <c r="D153" s="14" t="str">
        <f>'Raw Data'!K13</f>
        <v>North</v>
      </c>
      <c r="E153" s="14" t="str">
        <f t="shared" si="8"/>
        <v>NOR</v>
      </c>
      <c r="F153" s="14" t="str">
        <f>'Raw Data'!F13</f>
        <v>Bookshelf</v>
      </c>
      <c r="G153" s="14" t="str">
        <f t="shared" si="9"/>
        <v>BOOK</v>
      </c>
      <c r="H153" s="14" t="str">
        <f t="shared" si="10"/>
        <v>TXN-012-NOR-BOOK-KB</v>
      </c>
      <c r="T153">
        <f>IF(AND('Raw Data'!G153=$B$17,'Raw Data'!K153=$E$17,'Raw Data'!N153&gt;=$B$18),SUMPRODUCT(('Raw Data'!$G$2:$G153=$B$17)*('Raw Data'!$K$2:$K153=$E$17)*('Raw Data'!$N$2:$N153&gt;=$B$18)),"")</f>
        <v>12</v>
      </c>
    </row>
    <row r="154" spans="1:20" x14ac:dyDescent="0.3">
      <c r="A154" s="14" t="str">
        <f>'Raw Data'!A14</f>
        <v>TRX0246</v>
      </c>
      <c r="B154" s="14" t="str">
        <f>'Raw Data'!D14</f>
        <v>Peter Richardson</v>
      </c>
      <c r="C154" s="14" t="str">
        <f t="shared" si="7"/>
        <v>PR</v>
      </c>
      <c r="D154" s="14" t="str">
        <f>'Raw Data'!K14</f>
        <v>North</v>
      </c>
      <c r="E154" s="14" t="str">
        <f t="shared" si="8"/>
        <v>NOR</v>
      </c>
      <c r="F154" s="14" t="str">
        <f>'Raw Data'!F14</f>
        <v>Bookshelf</v>
      </c>
      <c r="G154" s="14" t="str">
        <f t="shared" si="9"/>
        <v>BOOK</v>
      </c>
      <c r="H154" s="14" t="str">
        <f t="shared" si="10"/>
        <v>TXN-013-NOR-BOOK-PR</v>
      </c>
      <c r="T154" t="str">
        <f>IF(AND('Raw Data'!G154=$B$17,'Raw Data'!K154=$E$17,'Raw Data'!N154&gt;=$B$18),SUMPRODUCT(('Raw Data'!$G$2:$G154=$B$17)*('Raw Data'!$K$2:$K154=$E$17)*('Raw Data'!$N$2:$N154&gt;=$B$18)),"")</f>
        <v/>
      </c>
    </row>
    <row r="155" spans="1:20" x14ac:dyDescent="0.3">
      <c r="A155" s="14" t="str">
        <f>'Raw Data'!A15</f>
        <v>TRX0067</v>
      </c>
      <c r="B155" s="14" t="str">
        <f>'Raw Data'!D15</f>
        <v>Dennis Gray</v>
      </c>
      <c r="C155" s="14" t="str">
        <f t="shared" si="7"/>
        <v>DG</v>
      </c>
      <c r="D155" s="14" t="str">
        <f>'Raw Data'!K15</f>
        <v>North</v>
      </c>
      <c r="E155" s="14" t="str">
        <f t="shared" si="8"/>
        <v>NOR</v>
      </c>
      <c r="F155" s="14" t="str">
        <f>'Raw Data'!F15</f>
        <v>Blender</v>
      </c>
      <c r="G155" s="14" t="str">
        <f t="shared" si="9"/>
        <v>BLEN</v>
      </c>
      <c r="H155" s="14" t="str">
        <f t="shared" si="10"/>
        <v>TXN-014-NOR-BLEN-DG</v>
      </c>
      <c r="T155" t="str">
        <f>IF(AND('Raw Data'!G155=$B$17,'Raw Data'!K155=$E$17,'Raw Data'!N155&gt;=$B$18),SUMPRODUCT(('Raw Data'!$G$2:$G155=$B$17)*('Raw Data'!$K$2:$K155=$E$17)*('Raw Data'!$N$2:$N155&gt;=$B$18)),"")</f>
        <v/>
      </c>
    </row>
    <row r="156" spans="1:20" x14ac:dyDescent="0.3">
      <c r="A156" s="14" t="str">
        <f>'Raw Data'!A16</f>
        <v>TRX0191</v>
      </c>
      <c r="B156" s="14" t="str">
        <f>'Raw Data'!D16</f>
        <v>Michelle Rogers</v>
      </c>
      <c r="C156" s="14" t="str">
        <f t="shared" si="7"/>
        <v>MR</v>
      </c>
      <c r="D156" s="14" t="str">
        <f>'Raw Data'!K16</f>
        <v>West</v>
      </c>
      <c r="E156" s="14" t="str">
        <f t="shared" si="8"/>
        <v>WES</v>
      </c>
      <c r="F156" s="14" t="str">
        <f>'Raw Data'!F16</f>
        <v>Smartphone</v>
      </c>
      <c r="G156" s="14" t="str">
        <f t="shared" si="9"/>
        <v>SMAR</v>
      </c>
      <c r="H156" s="14" t="str">
        <f t="shared" si="10"/>
        <v>TXN-015-WES-SMAR-MR</v>
      </c>
      <c r="T156" t="str">
        <f>IF(AND('Raw Data'!G156=$B$17,'Raw Data'!K156=$E$17,'Raw Data'!N156&gt;=$B$18),SUMPRODUCT(('Raw Data'!$G$2:$G156=$B$17)*('Raw Data'!$K$2:$K156=$E$17)*('Raw Data'!$N$2:$N156&gt;=$B$18)),"")</f>
        <v/>
      </c>
    </row>
    <row r="157" spans="1:20" x14ac:dyDescent="0.3">
      <c r="T157" t="str">
        <f>IF(AND('Raw Data'!G157=$B$17,'Raw Data'!K157=$E$17,'Raw Data'!N157&gt;=$B$18),SUMPRODUCT(('Raw Data'!$G$2:$G157=$B$17)*('Raw Data'!$K$2:$K157=$E$17)*('Raw Data'!$N$2:$N157&gt;=$B$18)),"")</f>
        <v/>
      </c>
    </row>
    <row r="158" spans="1:20" ht="19.5" customHeight="1" x14ac:dyDescent="0.3">
      <c r="A158" s="36" t="s">
        <v>444</v>
      </c>
      <c r="B158" s="36"/>
      <c r="C158" s="36"/>
      <c r="D158" s="36"/>
      <c r="E158" s="36"/>
      <c r="F158" s="36"/>
      <c r="G158" s="36"/>
      <c r="H158" s="36"/>
      <c r="I158" s="36"/>
      <c r="T158" t="str">
        <f>IF(AND('Raw Data'!G158=$B$17,'Raw Data'!K158=$E$17,'Raw Data'!N158&gt;=$B$18),SUMPRODUCT(('Raw Data'!$G$2:$G158=$B$17)*('Raw Data'!$K$2:$K158=$E$17)*('Raw Data'!$N$2:$N158&gt;=$B$18)),"")</f>
        <v/>
      </c>
    </row>
    <row r="159" spans="1:20" x14ac:dyDescent="0.3">
      <c r="A159" s="5" t="s">
        <v>445</v>
      </c>
      <c r="C159" s="4">
        <f>SUM('Raw Data'!N2:N251)</f>
        <v>229192.47000000032</v>
      </c>
      <c r="T159" t="str">
        <f>IF(AND('Raw Data'!G159=$B$17,'Raw Data'!K159=$E$17,'Raw Data'!N159&gt;=$B$18),SUMPRODUCT(('Raw Data'!$G$2:$G159=$B$17)*('Raw Data'!$K$2:$K159=$E$17)*('Raw Data'!$N$2:$N159&gt;=$B$18)),"")</f>
        <v/>
      </c>
    </row>
    <row r="160" spans="1:20" x14ac:dyDescent="0.3">
      <c r="T160">
        <f>IF(AND('Raw Data'!G160=$B$17,'Raw Data'!K160=$E$17,'Raw Data'!N160&gt;=$B$18),SUMPRODUCT(('Raw Data'!$G$2:$G160=$B$17)*('Raw Data'!$K$2:$K160=$E$17)*('Raw Data'!$N$2:$N160&gt;=$B$18)),"")</f>
        <v>13</v>
      </c>
    </row>
    <row r="161" spans="1:20" x14ac:dyDescent="0.3">
      <c r="A161" s="5" t="s">
        <v>446</v>
      </c>
      <c r="C161" s="20">
        <v>0.05</v>
      </c>
      <c r="T161" t="str">
        <f>IF(AND('Raw Data'!G161=$B$17,'Raw Data'!K161=$E$17,'Raw Data'!N161&gt;=$B$18),SUMPRODUCT(('Raw Data'!$G$2:$G161=$B$17)*('Raw Data'!$K$2:$K161=$E$17)*('Raw Data'!$N$2:$N161&gt;=$B$18)),"")</f>
        <v/>
      </c>
    </row>
    <row r="162" spans="1:20" x14ac:dyDescent="0.3">
      <c r="A162" s="5" t="s">
        <v>447</v>
      </c>
      <c r="C162" s="20">
        <v>0.03</v>
      </c>
      <c r="T162" t="str">
        <f>IF(AND('Raw Data'!G162=$B$17,'Raw Data'!K162=$E$17,'Raw Data'!N162&gt;=$B$18),SUMPRODUCT(('Raw Data'!$G$2:$G162=$B$17)*('Raw Data'!$K$2:$K162=$E$17)*('Raw Data'!$N$2:$N162&gt;=$B$18)),"")</f>
        <v/>
      </c>
    </row>
    <row r="163" spans="1:20" x14ac:dyDescent="0.3">
      <c r="A163" s="5" t="s">
        <v>448</v>
      </c>
      <c r="C163" s="21">
        <f>C159*(1+C161)*(1+C162)</f>
        <v>247871.65630500036</v>
      </c>
      <c r="T163" t="str">
        <f>IF(AND('Raw Data'!G163=$B$17,'Raw Data'!K163=$E$17,'Raw Data'!N163&gt;=$B$18),SUMPRODUCT(('Raw Data'!$G$2:$G163=$B$17)*('Raw Data'!$K$2:$K163=$E$17)*('Raw Data'!$N$2:$N163&gt;=$B$18)),"")</f>
        <v/>
      </c>
    </row>
    <row r="164" spans="1:20" x14ac:dyDescent="0.3">
      <c r="A164" s="5" t="s">
        <v>449</v>
      </c>
      <c r="C164" s="22">
        <f>(C163-C159)/C159</f>
        <v>8.1500000000000059E-2</v>
      </c>
      <c r="T164" t="str">
        <f>IF(AND('Raw Data'!G164=$B$17,'Raw Data'!K164=$E$17,'Raw Data'!N164&gt;=$B$18),SUMPRODUCT(('Raw Data'!$G$2:$G164=$B$17)*('Raw Data'!$K$2:$K164=$E$17)*('Raw Data'!$N$2:$N164&gt;=$B$18)),"")</f>
        <v/>
      </c>
    </row>
    <row r="165" spans="1:20" x14ac:dyDescent="0.3">
      <c r="T165">
        <f>IF(AND('Raw Data'!G165=$B$17,'Raw Data'!K165=$E$17,'Raw Data'!N165&gt;=$B$18),SUMPRODUCT(('Raw Data'!$G$2:$G165=$B$17)*('Raw Data'!$K$2:$K165=$E$17)*('Raw Data'!$N$2:$N165&gt;=$B$18)),"")</f>
        <v>14</v>
      </c>
    </row>
    <row r="166" spans="1:20" ht="27.75" customHeight="1" x14ac:dyDescent="0.3">
      <c r="A166" s="35" t="s">
        <v>450</v>
      </c>
      <c r="B166" s="35"/>
      <c r="C166" s="35"/>
      <c r="D166" s="35"/>
      <c r="E166" s="35"/>
      <c r="F166" s="35"/>
      <c r="G166" s="35"/>
      <c r="H166" s="35"/>
      <c r="I166" s="35"/>
      <c r="T166" t="str">
        <f>IF(AND('Raw Data'!G166=$B$17,'Raw Data'!K166=$E$17,'Raw Data'!N166&gt;=$B$18),SUMPRODUCT(('Raw Data'!$G$2:$G166=$B$17)*('Raw Data'!$K$2:$K166=$E$17)*('Raw Data'!$N$2:$N166&gt;=$B$18)),"")</f>
        <v/>
      </c>
    </row>
    <row r="167" spans="1:20" x14ac:dyDescent="0.3">
      <c r="T167" t="str">
        <f>IF(AND('Raw Data'!G167=$B$17,'Raw Data'!K167=$E$17,'Raw Data'!N167&gt;=$B$18),SUMPRODUCT(('Raw Data'!$G$2:$G167=$B$17)*('Raw Data'!$K$2:$K167=$E$17)*('Raw Data'!$N$2:$N167&gt;=$B$18)),"")</f>
        <v/>
      </c>
    </row>
    <row r="168" spans="1:20" x14ac:dyDescent="0.3">
      <c r="A168" s="13" t="s">
        <v>451</v>
      </c>
      <c r="B168" s="13" t="s">
        <v>452</v>
      </c>
      <c r="C168" s="13" t="s">
        <v>453</v>
      </c>
      <c r="D168" s="13" t="s">
        <v>454</v>
      </c>
      <c r="T168" t="str">
        <f>IF(AND('Raw Data'!G168=$B$17,'Raw Data'!K168=$E$17,'Raw Data'!N168&gt;=$B$18),SUMPRODUCT(('Raw Data'!$G$2:$G168=$B$17)*('Raw Data'!$K$2:$K168=$E$17)*('Raw Data'!$N$2:$N168&gt;=$B$18)),"")</f>
        <v/>
      </c>
    </row>
    <row r="169" spans="1:20" x14ac:dyDescent="0.3">
      <c r="A169" s="14" t="s">
        <v>455</v>
      </c>
      <c r="B169" s="23">
        <v>-0.05</v>
      </c>
      <c r="C169" s="23">
        <v>-0.05</v>
      </c>
      <c r="D169" s="15">
        <f>$C$159*(1+B169)*(1+C169)</f>
        <v>206846.20417500028</v>
      </c>
      <c r="T169" t="str">
        <f>IF(AND('Raw Data'!G169=$B$17,'Raw Data'!K169=$E$17,'Raw Data'!N169&gt;=$B$18),SUMPRODUCT(('Raw Data'!$G$2:$G169=$B$17)*('Raw Data'!$K$2:$K169=$E$17)*('Raw Data'!$N$2:$N169&gt;=$B$18)),"")</f>
        <v/>
      </c>
    </row>
    <row r="170" spans="1:20" x14ac:dyDescent="0.3">
      <c r="A170" s="14" t="s">
        <v>456</v>
      </c>
      <c r="B170" s="23">
        <v>0.05</v>
      </c>
      <c r="C170" s="23">
        <v>0.03</v>
      </c>
      <c r="D170" s="15">
        <f>$C$159*(1+B170)*(1+C170)</f>
        <v>247871.65630500036</v>
      </c>
      <c r="T170" t="str">
        <f>IF(AND('Raw Data'!G170=$B$17,'Raw Data'!K170=$E$17,'Raw Data'!N170&gt;=$B$18),SUMPRODUCT(('Raw Data'!$G$2:$G170=$B$17)*('Raw Data'!$K$2:$K170=$E$17)*('Raw Data'!$N$2:$N170&gt;=$B$18)),"")</f>
        <v/>
      </c>
    </row>
    <row r="171" spans="1:20" x14ac:dyDescent="0.3">
      <c r="A171" s="14" t="s">
        <v>457</v>
      </c>
      <c r="B171" s="23">
        <v>0.15</v>
      </c>
      <c r="C171" s="23">
        <v>0.1</v>
      </c>
      <c r="D171" s="15">
        <f>$C$159*(1+B171)*(1+C171)</f>
        <v>289928.47455000039</v>
      </c>
      <c r="T171" t="str">
        <f>IF(AND('Raw Data'!G171=$B$17,'Raw Data'!K171=$E$17,'Raw Data'!N171&gt;=$B$18),SUMPRODUCT(('Raw Data'!$G$2:$G171=$B$17)*('Raw Data'!$K$2:$K171=$E$17)*('Raw Data'!$N$2:$N171&gt;=$B$18)),"")</f>
        <v/>
      </c>
    </row>
    <row r="172" spans="1:20" x14ac:dyDescent="0.3">
      <c r="T172" t="str">
        <f>IF(AND('Raw Data'!G172=$B$17,'Raw Data'!K172=$E$17,'Raw Data'!N172&gt;=$B$18),SUMPRODUCT(('Raw Data'!$G$2:$G172=$B$17)*('Raw Data'!$K$2:$K172=$E$17)*('Raw Data'!$N$2:$N172&gt;=$B$18)),"")</f>
        <v/>
      </c>
    </row>
    <row r="173" spans="1:20" ht="27.75" customHeight="1" x14ac:dyDescent="0.3">
      <c r="A173" s="35" t="s">
        <v>458</v>
      </c>
      <c r="B173" s="35"/>
      <c r="C173" s="35"/>
      <c r="D173" s="35"/>
      <c r="E173" s="35"/>
      <c r="F173" s="35"/>
      <c r="G173" s="35"/>
      <c r="H173" s="35"/>
      <c r="I173" s="35"/>
      <c r="T173" t="str">
        <f>IF(AND('Raw Data'!G173=$B$17,'Raw Data'!K173=$E$17,'Raw Data'!N173&gt;=$B$18),SUMPRODUCT(('Raw Data'!$G$2:$G173=$B$17)*('Raw Data'!$K$2:$K173=$E$17)*('Raw Data'!$N$2:$N173&gt;=$B$18)),"")</f>
        <v/>
      </c>
    </row>
    <row r="174" spans="1:20" x14ac:dyDescent="0.3">
      <c r="T174" t="str">
        <f>IF(AND('Raw Data'!G174=$B$17,'Raw Data'!K174=$E$17,'Raw Data'!N174&gt;=$B$18),SUMPRODUCT(('Raw Data'!$G$2:$G174=$B$17)*('Raw Data'!$K$2:$K174=$E$17)*('Raw Data'!$N$2:$N174&gt;=$B$18)),"")</f>
        <v/>
      </c>
    </row>
    <row r="175" spans="1:20" ht="19.5" customHeight="1" x14ac:dyDescent="0.3">
      <c r="A175" s="36" t="s">
        <v>459</v>
      </c>
      <c r="B175" s="36"/>
      <c r="C175" s="36"/>
      <c r="D175" s="36"/>
      <c r="E175" s="36"/>
      <c r="F175" s="36"/>
      <c r="G175" s="36"/>
      <c r="H175" s="36"/>
      <c r="I175" s="36"/>
      <c r="T175" t="str">
        <f>IF(AND('Raw Data'!G175=$B$17,'Raw Data'!K175=$E$17,'Raw Data'!N175&gt;=$B$18),SUMPRODUCT(('Raw Data'!$G$2:$G175=$B$17)*('Raw Data'!$K$2:$K175=$E$17)*('Raw Data'!$N$2:$N175&gt;=$B$18)),"")</f>
        <v/>
      </c>
    </row>
    <row r="176" spans="1:20" x14ac:dyDescent="0.3">
      <c r="A176" s="13" t="s">
        <v>460</v>
      </c>
      <c r="B176" s="13" t="s">
        <v>461</v>
      </c>
      <c r="C176" s="13" t="s">
        <v>462</v>
      </c>
      <c r="T176" t="str">
        <f>IF(AND('Raw Data'!G176=$B$17,'Raw Data'!K176=$E$17,'Raw Data'!N176&gt;=$B$18),SUMPRODUCT(('Raw Data'!$G$2:$G176=$B$17)*('Raw Data'!$K$2:$K176=$E$17)*('Raw Data'!$N$2:$N176&gt;=$B$18)),"")</f>
        <v/>
      </c>
    </row>
    <row r="177" spans="1:20" x14ac:dyDescent="0.3">
      <c r="A177" s="24">
        <v>45383</v>
      </c>
      <c r="B177" s="14">
        <v>1</v>
      </c>
      <c r="C177" s="15">
        <f>SUMPRODUCT((YEAR('Raw Data'!$B$2:$B$251)=2024)*(MONTH('Raw Data'!$B$2:$B$251)=4)*'Raw Data'!$N$2:$N$251)</f>
        <v>20919.330000000002</v>
      </c>
      <c r="T177" t="str">
        <f>IF(AND('Raw Data'!G177=$B$17,'Raw Data'!K177=$E$17,'Raw Data'!N177&gt;=$B$18),SUMPRODUCT(('Raw Data'!$G$2:$G177=$B$17)*('Raw Data'!$K$2:$K177=$E$17)*('Raw Data'!$N$2:$N177&gt;=$B$18)),"")</f>
        <v/>
      </c>
    </row>
    <row r="178" spans="1:20" x14ac:dyDescent="0.3">
      <c r="A178" s="24">
        <v>45413</v>
      </c>
      <c r="B178" s="14">
        <v>2</v>
      </c>
      <c r="C178" s="15">
        <f>SUMPRODUCT((YEAR('Raw Data'!$B$2:$B$251)=2024)*(MONTH('Raw Data'!$B$2:$B$251)=5)*'Raw Data'!$N$2:$N$251)</f>
        <v>17039.349999999999</v>
      </c>
      <c r="T178" t="str">
        <f>IF(AND('Raw Data'!G178=$B$17,'Raw Data'!K178=$E$17,'Raw Data'!N178&gt;=$B$18),SUMPRODUCT(('Raw Data'!$G$2:$G178=$B$17)*('Raw Data'!$K$2:$K178=$E$17)*('Raw Data'!$N$2:$N178&gt;=$B$18)),"")</f>
        <v/>
      </c>
    </row>
    <row r="179" spans="1:20" x14ac:dyDescent="0.3">
      <c r="A179" s="24">
        <v>45444</v>
      </c>
      <c r="B179" s="14">
        <v>3</v>
      </c>
      <c r="C179" s="15">
        <f>SUMPRODUCT((YEAR('Raw Data'!$B$2:$B$251)=2024)*(MONTH('Raw Data'!$B$2:$B$251)=6)*'Raw Data'!$N$2:$N$251)</f>
        <v>19299.45</v>
      </c>
      <c r="T179">
        <f>IF(AND('Raw Data'!G179=$B$17,'Raw Data'!K179=$E$17,'Raw Data'!N179&gt;=$B$18),SUMPRODUCT(('Raw Data'!$G$2:$G179=$B$17)*('Raw Data'!$K$2:$K179=$E$17)*('Raw Data'!$N$2:$N179&gt;=$B$18)),"")</f>
        <v>15</v>
      </c>
    </row>
    <row r="180" spans="1:20" x14ac:dyDescent="0.3">
      <c r="A180" s="24">
        <v>45474</v>
      </c>
      <c r="B180" s="14">
        <v>4</v>
      </c>
      <c r="C180" s="15">
        <f>SUMPRODUCT((YEAR('Raw Data'!$B$2:$B$251)=2024)*(MONTH('Raw Data'!$B$2:$B$251)=7)*'Raw Data'!$N$2:$N$251)</f>
        <v>18479.399999999994</v>
      </c>
      <c r="T180" t="str">
        <f>IF(AND('Raw Data'!G180=$B$17,'Raw Data'!K180=$E$17,'Raw Data'!N180&gt;=$B$18),SUMPRODUCT(('Raw Data'!$G$2:$G180=$B$17)*('Raw Data'!$K$2:$K180=$E$17)*('Raw Data'!$N$2:$N180&gt;=$B$18)),"")</f>
        <v/>
      </c>
    </row>
    <row r="181" spans="1:20" x14ac:dyDescent="0.3">
      <c r="A181" s="24">
        <v>45505</v>
      </c>
      <c r="B181" s="14">
        <v>5</v>
      </c>
      <c r="C181" s="15">
        <f>SUMPRODUCT((YEAR('Raw Data'!$B$2:$B$251)=2024)*(MONTH('Raw Data'!$B$2:$B$251)=8)*'Raw Data'!$N$2:$N$251)</f>
        <v>15759.429999999997</v>
      </c>
      <c r="T181">
        <f>IF(AND('Raw Data'!G181=$B$17,'Raw Data'!K181=$E$17,'Raw Data'!N181&gt;=$B$18),SUMPRODUCT(('Raw Data'!$G$2:$G181=$B$17)*('Raw Data'!$K$2:$K181=$E$17)*('Raw Data'!$N$2:$N181&gt;=$B$18)),"")</f>
        <v>16</v>
      </c>
    </row>
    <row r="182" spans="1:20" x14ac:dyDescent="0.3">
      <c r="A182" s="24">
        <v>45536</v>
      </c>
      <c r="B182" s="14">
        <v>6</v>
      </c>
      <c r="C182" s="15">
        <f>SUMPRODUCT((YEAR('Raw Data'!$B$2:$B$251)=2024)*(MONTH('Raw Data'!$B$2:$B$251)=9)*'Raw Data'!$N$2:$N$251)</f>
        <v>12989.509999999997</v>
      </c>
      <c r="T182" t="str">
        <f>IF(AND('Raw Data'!G182=$B$17,'Raw Data'!K182=$E$17,'Raw Data'!N182&gt;=$B$18),SUMPRODUCT(('Raw Data'!$G$2:$G182=$B$17)*('Raw Data'!$K$2:$K182=$E$17)*('Raw Data'!$N$2:$N182&gt;=$B$18)),"")</f>
        <v/>
      </c>
    </row>
    <row r="183" spans="1:20" x14ac:dyDescent="0.3">
      <c r="A183" s="24">
        <v>45566</v>
      </c>
      <c r="B183" s="14">
        <v>7</v>
      </c>
      <c r="C183" s="15">
        <f>SUMPRODUCT((YEAR('Raw Data'!$B$2:$B$251)=2024)*(MONTH('Raw Data'!$B$2:$B$251)=10)*'Raw Data'!$N$2:$N$251)</f>
        <v>20609.52</v>
      </c>
      <c r="T183" t="str">
        <f>IF(AND('Raw Data'!G183=$B$17,'Raw Data'!K183=$E$17,'Raw Data'!N183&gt;=$B$18),SUMPRODUCT(('Raw Data'!$G$2:$G183=$B$17)*('Raw Data'!$K$2:$K183=$E$17)*('Raw Data'!$N$2:$N183&gt;=$B$18)),"")</f>
        <v/>
      </c>
    </row>
    <row r="184" spans="1:20" x14ac:dyDescent="0.3">
      <c r="A184" s="24">
        <v>45597</v>
      </c>
      <c r="B184" s="14">
        <v>8</v>
      </c>
      <c r="C184" s="15">
        <f>SUMPRODUCT((YEAR('Raw Data'!$B$2:$B$251)=2024)*(MONTH('Raw Data'!$B$2:$B$251)=11)*'Raw Data'!$N$2:$N$251)</f>
        <v>12309.439999999999</v>
      </c>
      <c r="T184" t="str">
        <f>IF(AND('Raw Data'!G184=$B$17,'Raw Data'!K184=$E$17,'Raw Data'!N184&gt;=$B$18),SUMPRODUCT(('Raw Data'!$G$2:$G184=$B$17)*('Raw Data'!$K$2:$K184=$E$17)*('Raw Data'!$N$2:$N184&gt;=$B$18)),"")</f>
        <v/>
      </c>
    </row>
    <row r="185" spans="1:20" x14ac:dyDescent="0.3">
      <c r="A185" s="24">
        <v>45627</v>
      </c>
      <c r="B185" s="14">
        <v>9</v>
      </c>
      <c r="C185" s="15">
        <f>SUMPRODUCT((YEAR('Raw Data'!$B$2:$B$251)=2024)*(MONTH('Raw Data'!$B$2:$B$251)=12)*'Raw Data'!$N$2:$N$251)</f>
        <v>23039.3</v>
      </c>
      <c r="T185" t="str">
        <f>IF(AND('Raw Data'!G185=$B$17,'Raw Data'!K185=$E$17,'Raw Data'!N185&gt;=$B$18),SUMPRODUCT(('Raw Data'!$G$2:$G185=$B$17)*('Raw Data'!$K$2:$K185=$E$17)*('Raw Data'!$N$2:$N185&gt;=$B$18)),"")</f>
        <v/>
      </c>
    </row>
    <row r="186" spans="1:20" x14ac:dyDescent="0.3">
      <c r="A186" s="24">
        <v>45658</v>
      </c>
      <c r="B186" s="14">
        <v>10</v>
      </c>
      <c r="C186" s="15">
        <f>SUMPRODUCT((YEAR('Raw Data'!$B$2:$B$251)=2025)*(MONTH('Raw Data'!$B$2:$B$251)=1)*'Raw Data'!$N$2:$N$251)</f>
        <v>25799.15</v>
      </c>
      <c r="T186" t="str">
        <f>IF(AND('Raw Data'!G186=$B$17,'Raw Data'!K186=$E$17,'Raw Data'!N186&gt;=$B$18),SUMPRODUCT(('Raw Data'!$G$2:$G186=$B$17)*('Raw Data'!$K$2:$K186=$E$17)*('Raw Data'!$N$2:$N186&gt;=$B$18)),"")</f>
        <v/>
      </c>
    </row>
    <row r="187" spans="1:20" x14ac:dyDescent="0.3">
      <c r="A187" s="24">
        <v>45689</v>
      </c>
      <c r="B187" s="14">
        <v>11</v>
      </c>
      <c r="C187" s="15">
        <f>SUMPRODUCT((YEAR('Raw Data'!$B$2:$B$251)=2025)*(MONTH('Raw Data'!$B$2:$B$251)=2)*'Raw Data'!$N$2:$N$251)</f>
        <v>16069.379999999997</v>
      </c>
      <c r="T187" t="str">
        <f>IF(AND('Raw Data'!G187=$B$17,'Raw Data'!K187=$E$17,'Raw Data'!N187&gt;=$B$18),SUMPRODUCT(('Raw Data'!$G$2:$G187=$B$17)*('Raw Data'!$K$2:$K187=$E$17)*('Raw Data'!$N$2:$N187&gt;=$B$18)),"")</f>
        <v/>
      </c>
    </row>
    <row r="188" spans="1:20" x14ac:dyDescent="0.3">
      <c r="A188" s="24">
        <v>45717</v>
      </c>
      <c r="B188" s="14">
        <v>12</v>
      </c>
      <c r="C188" s="15">
        <f>SUMPRODUCT((YEAR('Raw Data'!$B$2:$B$251)=2025)*(MONTH('Raw Data'!$B$2:$B$251)=3)*'Raw Data'!$N$2:$N$251)</f>
        <v>19899.379999999997</v>
      </c>
      <c r="T188">
        <f>IF(AND('Raw Data'!G188=$B$17,'Raw Data'!K188=$E$17,'Raw Data'!N188&gt;=$B$18),SUMPRODUCT(('Raw Data'!$G$2:$G188=$B$17)*('Raw Data'!$K$2:$K188=$E$17)*('Raw Data'!$N$2:$N188&gt;=$B$18)),"")</f>
        <v>17</v>
      </c>
    </row>
    <row r="189" spans="1:20" x14ac:dyDescent="0.3">
      <c r="A189" s="24">
        <v>45748</v>
      </c>
      <c r="B189" s="14">
        <v>13</v>
      </c>
      <c r="C189" s="15">
        <f>SUMPRODUCT((YEAR('Raw Data'!$B$2:$B$251)=2025)*(MONTH('Raw Data'!$B$2:$B$251)=4)*'Raw Data'!$N$2:$N$251)</f>
        <v>6979.829999999999</v>
      </c>
      <c r="T189" t="str">
        <f>IF(AND('Raw Data'!G189=$B$17,'Raw Data'!K189=$E$17,'Raw Data'!N189&gt;=$B$18),SUMPRODUCT(('Raw Data'!$G$2:$G189=$B$17)*('Raw Data'!$K$2:$K189=$E$17)*('Raw Data'!$N$2:$N189&gt;=$B$18)),"")</f>
        <v/>
      </c>
    </row>
    <row r="190" spans="1:20" x14ac:dyDescent="0.3">
      <c r="T190" t="str">
        <f>IF(AND('Raw Data'!G190=$B$17,'Raw Data'!K190=$E$17,'Raw Data'!N190&gt;=$B$18),SUMPRODUCT(('Raw Data'!$G$2:$G190=$B$17)*('Raw Data'!$K$2:$K190=$E$17)*('Raw Data'!$N$2:$N190&gt;=$B$18)),"")</f>
        <v/>
      </c>
    </row>
    <row r="191" spans="1:20" x14ac:dyDescent="0.3">
      <c r="A191" s="5" t="s">
        <v>463</v>
      </c>
      <c r="C191" s="4">
        <f>SLOPE($C$177:$C$189,$B$177:$B$189)</f>
        <v>-255.04510989010996</v>
      </c>
      <c r="T191">
        <f>IF(AND('Raw Data'!G191=$B$17,'Raw Data'!K191=$E$17,'Raw Data'!N191&gt;=$B$18),SUMPRODUCT(('Raw Data'!$G$2:$G191=$B$17)*('Raw Data'!$K$2:$K191=$E$17)*('Raw Data'!$N$2:$N191&gt;=$B$18)),"")</f>
        <v>18</v>
      </c>
    </row>
    <row r="192" spans="1:20" x14ac:dyDescent="0.3">
      <c r="A192" s="5" t="s">
        <v>464</v>
      </c>
      <c r="C192" s="4">
        <f>INTERCEPT($C$177:$C$189,$B$177:$B$189)</f>
        <v>19415.505769230767</v>
      </c>
      <c r="T192" t="str">
        <f>IF(AND('Raw Data'!G192=$B$17,'Raw Data'!K192=$E$17,'Raw Data'!N192&gt;=$B$18),SUMPRODUCT(('Raw Data'!$G$2:$G192=$B$17)*('Raw Data'!$K$2:$K192=$E$17)*('Raw Data'!$N$2:$N192&gt;=$B$18)),"")</f>
        <v/>
      </c>
    </row>
    <row r="193" spans="1:20" x14ac:dyDescent="0.3">
      <c r="A193" s="5" t="s">
        <v>465</v>
      </c>
      <c r="C193" s="25">
        <f>RSQ($C$177:$C$189,$B$177:$B$189)</f>
        <v>4.0281041533369352E-2</v>
      </c>
      <c r="T193" t="str">
        <f>IF(AND('Raw Data'!G193=$B$17,'Raw Data'!K193=$E$17,'Raw Data'!N193&gt;=$B$18),SUMPRODUCT(('Raw Data'!$G$2:$G193=$B$17)*('Raw Data'!$K$2:$K193=$E$17)*('Raw Data'!$N$2:$N193&gt;=$B$18)),"")</f>
        <v/>
      </c>
    </row>
    <row r="194" spans="1:20" x14ac:dyDescent="0.3">
      <c r="A194" s="5" t="s">
        <v>466</v>
      </c>
      <c r="C194" s="21">
        <f>TREND($C$177:$C$189,$B$177:$B$189,14)</f>
        <v>15844.874230769228</v>
      </c>
      <c r="T194" t="str">
        <f>IF(AND('Raw Data'!G194=$B$17,'Raw Data'!K194=$E$17,'Raw Data'!N194&gt;=$B$18),SUMPRODUCT(('Raw Data'!$G$2:$G194=$B$17)*('Raw Data'!$K$2:$K194=$E$17)*('Raw Data'!$N$2:$N194&gt;=$B$18)),"")</f>
        <v/>
      </c>
    </row>
    <row r="195" spans="1:20" x14ac:dyDescent="0.3">
      <c r="T195" t="str">
        <f>IF(AND('Raw Data'!G195=$B$17,'Raw Data'!K195=$E$17,'Raw Data'!N195&gt;=$B$18),SUMPRODUCT(('Raw Data'!$G$2:$G195=$B$17)*('Raw Data'!$K$2:$K195=$E$17)*('Raw Data'!$N$2:$N195&gt;=$B$18)),"")</f>
        <v/>
      </c>
    </row>
    <row r="196" spans="1:20" ht="39.75" customHeight="1" x14ac:dyDescent="0.3">
      <c r="A196" s="35" t="s">
        <v>467</v>
      </c>
      <c r="B196" s="35"/>
      <c r="C196" s="35"/>
      <c r="D196" s="35"/>
      <c r="E196" s="35"/>
      <c r="F196" s="35"/>
      <c r="G196" s="35"/>
      <c r="H196" s="35"/>
      <c r="I196" s="35"/>
      <c r="T196" t="str">
        <f>IF(AND('Raw Data'!G196=$B$17,'Raw Data'!K196=$E$17,'Raw Data'!N196&gt;=$B$18),SUMPRODUCT(('Raw Data'!$G$2:$G196=$B$17)*('Raw Data'!$K$2:$K196=$E$17)*('Raw Data'!$N$2:$N196&gt;=$B$18)),"")</f>
        <v/>
      </c>
    </row>
    <row r="197" spans="1:20" x14ac:dyDescent="0.3">
      <c r="T197" t="str">
        <f>IF(AND('Raw Data'!G197=$B$17,'Raw Data'!K197=$E$17,'Raw Data'!N197&gt;=$B$18),SUMPRODUCT(('Raw Data'!$G$2:$G197=$B$17)*('Raw Data'!$K$2:$K197=$E$17)*('Raw Data'!$N$2:$N197&gt;=$B$18)),"")</f>
        <v/>
      </c>
    </row>
    <row r="198" spans="1:20" x14ac:dyDescent="0.3">
      <c r="T198" t="str">
        <f>IF(AND('Raw Data'!G198=$B$17,'Raw Data'!K198=$E$17,'Raw Data'!N198&gt;=$B$18),SUMPRODUCT(('Raw Data'!$G$2:$G198=$B$17)*('Raw Data'!$K$2:$K198=$E$17)*('Raw Data'!$N$2:$N198&gt;=$B$18)),"")</f>
        <v/>
      </c>
    </row>
    <row r="199" spans="1:20" x14ac:dyDescent="0.3">
      <c r="T199" t="str">
        <f>IF(AND('Raw Data'!G199=$B$17,'Raw Data'!K199=$E$17,'Raw Data'!N199&gt;=$B$18),SUMPRODUCT(('Raw Data'!$G$2:$G199=$B$17)*('Raw Data'!$K$2:$K199=$E$17)*('Raw Data'!$N$2:$N199&gt;=$B$18)),"")</f>
        <v/>
      </c>
    </row>
    <row r="200" spans="1:20" x14ac:dyDescent="0.3">
      <c r="T200" t="str">
        <f>IF(AND('Raw Data'!G200=$B$17,'Raw Data'!K200=$E$17,'Raw Data'!N200&gt;=$B$18),SUMPRODUCT(('Raw Data'!$G$2:$G200=$B$17)*('Raw Data'!$K$2:$K200=$E$17)*('Raw Data'!$N$2:$N200&gt;=$B$18)),"")</f>
        <v/>
      </c>
    </row>
    <row r="201" spans="1:20" x14ac:dyDescent="0.3">
      <c r="T201" t="str">
        <f>IF(AND('Raw Data'!G201=$B$17,'Raw Data'!K201=$E$17,'Raw Data'!N201&gt;=$B$18),SUMPRODUCT(('Raw Data'!$G$2:$G201=$B$17)*('Raw Data'!$K$2:$K201=$E$17)*('Raw Data'!$N$2:$N201&gt;=$B$18)),"")</f>
        <v/>
      </c>
    </row>
    <row r="202" spans="1:20" x14ac:dyDescent="0.3">
      <c r="T202" t="str">
        <f>IF(AND('Raw Data'!G202=$B$17,'Raw Data'!K202=$E$17,'Raw Data'!N202&gt;=$B$18),SUMPRODUCT(('Raw Data'!$G$2:$G202=$B$17)*('Raw Data'!$K$2:$K202=$E$17)*('Raw Data'!$N$2:$N202&gt;=$B$18)),"")</f>
        <v/>
      </c>
    </row>
    <row r="203" spans="1:20" x14ac:dyDescent="0.3">
      <c r="T203" t="str">
        <f>IF(AND('Raw Data'!G203=$B$17,'Raw Data'!K203=$E$17,'Raw Data'!N203&gt;=$B$18),SUMPRODUCT(('Raw Data'!$G$2:$G203=$B$17)*('Raw Data'!$K$2:$K203=$E$17)*('Raw Data'!$N$2:$N203&gt;=$B$18)),"")</f>
        <v/>
      </c>
    </row>
    <row r="204" spans="1:20" x14ac:dyDescent="0.3">
      <c r="T204" t="str">
        <f>IF(AND('Raw Data'!G204=$B$17,'Raw Data'!K204=$E$17,'Raw Data'!N204&gt;=$B$18),SUMPRODUCT(('Raw Data'!$G$2:$G204=$B$17)*('Raw Data'!$K$2:$K204=$E$17)*('Raw Data'!$N$2:$N204&gt;=$B$18)),"")</f>
        <v/>
      </c>
    </row>
    <row r="205" spans="1:20" x14ac:dyDescent="0.3">
      <c r="T205" t="str">
        <f>IF(AND('Raw Data'!G205=$B$17,'Raw Data'!K205=$E$17,'Raw Data'!N205&gt;=$B$18),SUMPRODUCT(('Raw Data'!$G$2:$G205=$B$17)*('Raw Data'!$K$2:$K205=$E$17)*('Raw Data'!$N$2:$N205&gt;=$B$18)),"")</f>
        <v/>
      </c>
    </row>
    <row r="206" spans="1:20" x14ac:dyDescent="0.3">
      <c r="T206" t="str">
        <f>IF(AND('Raw Data'!G206=$B$17,'Raw Data'!K206=$E$17,'Raw Data'!N206&gt;=$B$18),SUMPRODUCT(('Raw Data'!$G$2:$G206=$B$17)*('Raw Data'!$K$2:$K206=$E$17)*('Raw Data'!$N$2:$N206&gt;=$B$18)),"")</f>
        <v/>
      </c>
    </row>
    <row r="207" spans="1:20" x14ac:dyDescent="0.3">
      <c r="T207" t="str">
        <f>IF(AND('Raw Data'!G207=$B$17,'Raw Data'!K207=$E$17,'Raw Data'!N207&gt;=$B$18),SUMPRODUCT(('Raw Data'!$G$2:$G207=$B$17)*('Raw Data'!$K$2:$K207=$E$17)*('Raw Data'!$N$2:$N207&gt;=$B$18)),"")</f>
        <v/>
      </c>
    </row>
    <row r="208" spans="1:20" x14ac:dyDescent="0.3">
      <c r="T208" t="str">
        <f>IF(AND('Raw Data'!G208=$B$17,'Raw Data'!K208=$E$17,'Raw Data'!N208&gt;=$B$18),SUMPRODUCT(('Raw Data'!$G$2:$G208=$B$17)*('Raw Data'!$K$2:$K208=$E$17)*('Raw Data'!$N$2:$N208&gt;=$B$18)),"")</f>
        <v/>
      </c>
    </row>
    <row r="209" spans="20:20" x14ac:dyDescent="0.3">
      <c r="T209" t="str">
        <f>IF(AND('Raw Data'!G209=$B$17,'Raw Data'!K209=$E$17,'Raw Data'!N209&gt;=$B$18),SUMPRODUCT(('Raw Data'!$G$2:$G209=$B$17)*('Raw Data'!$K$2:$K209=$E$17)*('Raw Data'!$N$2:$N209&gt;=$B$18)),"")</f>
        <v/>
      </c>
    </row>
    <row r="210" spans="20:20" x14ac:dyDescent="0.3">
      <c r="T210" t="str">
        <f>IF(AND('Raw Data'!G210=$B$17,'Raw Data'!K210=$E$17,'Raw Data'!N210&gt;=$B$18),SUMPRODUCT(('Raw Data'!$G$2:$G210=$B$17)*('Raw Data'!$K$2:$K210=$E$17)*('Raw Data'!$N$2:$N210&gt;=$B$18)),"")</f>
        <v/>
      </c>
    </row>
    <row r="211" spans="20:20" x14ac:dyDescent="0.3">
      <c r="T211" t="str">
        <f>IF(AND('Raw Data'!G211=$B$17,'Raw Data'!K211=$E$17,'Raw Data'!N211&gt;=$B$18),SUMPRODUCT(('Raw Data'!$G$2:$G211=$B$17)*('Raw Data'!$K$2:$K211=$E$17)*('Raw Data'!$N$2:$N211&gt;=$B$18)),"")</f>
        <v/>
      </c>
    </row>
    <row r="212" spans="20:20" x14ac:dyDescent="0.3">
      <c r="T212" t="str">
        <f>IF(AND('Raw Data'!G212=$B$17,'Raw Data'!K212=$E$17,'Raw Data'!N212&gt;=$B$18),SUMPRODUCT(('Raw Data'!$G$2:$G212=$B$17)*('Raw Data'!$K$2:$K212=$E$17)*('Raw Data'!$N$2:$N212&gt;=$B$18)),"")</f>
        <v/>
      </c>
    </row>
    <row r="213" spans="20:20" x14ac:dyDescent="0.3">
      <c r="T213" t="str">
        <f>IF(AND('Raw Data'!G213=$B$17,'Raw Data'!K213=$E$17,'Raw Data'!N213&gt;=$B$18),SUMPRODUCT(('Raw Data'!$G$2:$G213=$B$17)*('Raw Data'!$K$2:$K213=$E$17)*('Raw Data'!$N$2:$N213&gt;=$B$18)),"")</f>
        <v/>
      </c>
    </row>
    <row r="214" spans="20:20" x14ac:dyDescent="0.3">
      <c r="T214" t="str">
        <f>IF(AND('Raw Data'!G214=$B$17,'Raw Data'!K214=$E$17,'Raw Data'!N214&gt;=$B$18),SUMPRODUCT(('Raw Data'!$G$2:$G214=$B$17)*('Raw Data'!$K$2:$K214=$E$17)*('Raw Data'!$N$2:$N214&gt;=$B$18)),"")</f>
        <v/>
      </c>
    </row>
    <row r="215" spans="20:20" x14ac:dyDescent="0.3">
      <c r="T215" t="str">
        <f>IF(AND('Raw Data'!G215=$B$17,'Raw Data'!K215=$E$17,'Raw Data'!N215&gt;=$B$18),SUMPRODUCT(('Raw Data'!$G$2:$G215=$B$17)*('Raw Data'!$K$2:$K215=$E$17)*('Raw Data'!$N$2:$N215&gt;=$B$18)),"")</f>
        <v/>
      </c>
    </row>
    <row r="216" spans="20:20" x14ac:dyDescent="0.3">
      <c r="T216" t="str">
        <f>IF(AND('Raw Data'!G216=$B$17,'Raw Data'!K216=$E$17,'Raw Data'!N216&gt;=$B$18),SUMPRODUCT(('Raw Data'!$G$2:$G216=$B$17)*('Raw Data'!$K$2:$K216=$E$17)*('Raw Data'!$N$2:$N216&gt;=$B$18)),"")</f>
        <v/>
      </c>
    </row>
    <row r="217" spans="20:20" x14ac:dyDescent="0.3">
      <c r="T217" t="str">
        <f>IF(AND('Raw Data'!G217=$B$17,'Raw Data'!K217=$E$17,'Raw Data'!N217&gt;=$B$18),SUMPRODUCT(('Raw Data'!$G$2:$G217=$B$17)*('Raw Data'!$K$2:$K217=$E$17)*('Raw Data'!$N$2:$N217&gt;=$B$18)),"")</f>
        <v/>
      </c>
    </row>
    <row r="218" spans="20:20" x14ac:dyDescent="0.3">
      <c r="T218" t="str">
        <f>IF(AND('Raw Data'!G218=$B$17,'Raw Data'!K218=$E$17,'Raw Data'!N218&gt;=$B$18),SUMPRODUCT(('Raw Data'!$G$2:$G218=$B$17)*('Raw Data'!$K$2:$K218=$E$17)*('Raw Data'!$N$2:$N218&gt;=$B$18)),"")</f>
        <v/>
      </c>
    </row>
    <row r="219" spans="20:20" x14ac:dyDescent="0.3">
      <c r="T219" t="str">
        <f>IF(AND('Raw Data'!G219=$B$17,'Raw Data'!K219=$E$17,'Raw Data'!N219&gt;=$B$18),SUMPRODUCT(('Raw Data'!$G$2:$G219=$B$17)*('Raw Data'!$K$2:$K219=$E$17)*('Raw Data'!$N$2:$N219&gt;=$B$18)),"")</f>
        <v/>
      </c>
    </row>
    <row r="220" spans="20:20" x14ac:dyDescent="0.3">
      <c r="T220">
        <f>IF(AND('Raw Data'!G220=$B$17,'Raw Data'!K220=$E$17,'Raw Data'!N220&gt;=$B$18),SUMPRODUCT(('Raw Data'!$G$2:$G220=$B$17)*('Raw Data'!$K$2:$K220=$E$17)*('Raw Data'!$N$2:$N220&gt;=$B$18)),"")</f>
        <v>19</v>
      </c>
    </row>
    <row r="221" spans="20:20" x14ac:dyDescent="0.3">
      <c r="T221" t="str">
        <f>IF(AND('Raw Data'!G221=$B$17,'Raw Data'!K221=$E$17,'Raw Data'!N221&gt;=$B$18),SUMPRODUCT(('Raw Data'!$G$2:$G221=$B$17)*('Raw Data'!$K$2:$K221=$E$17)*('Raw Data'!$N$2:$N221&gt;=$B$18)),"")</f>
        <v/>
      </c>
    </row>
    <row r="222" spans="20:20" x14ac:dyDescent="0.3">
      <c r="T222" t="str">
        <f>IF(AND('Raw Data'!G222=$B$17,'Raw Data'!K222=$E$17,'Raw Data'!N222&gt;=$B$18),SUMPRODUCT(('Raw Data'!$G$2:$G222=$B$17)*('Raw Data'!$K$2:$K222=$E$17)*('Raw Data'!$N$2:$N222&gt;=$B$18)),"")</f>
        <v/>
      </c>
    </row>
    <row r="223" spans="20:20" x14ac:dyDescent="0.3">
      <c r="T223" t="str">
        <f>IF(AND('Raw Data'!G223=$B$17,'Raw Data'!K223=$E$17,'Raw Data'!N223&gt;=$B$18),SUMPRODUCT(('Raw Data'!$G$2:$G223=$B$17)*('Raw Data'!$K$2:$K223=$E$17)*('Raw Data'!$N$2:$N223&gt;=$B$18)),"")</f>
        <v/>
      </c>
    </row>
    <row r="224" spans="20:20" x14ac:dyDescent="0.3">
      <c r="T224" t="str">
        <f>IF(AND('Raw Data'!G224=$B$17,'Raw Data'!K224=$E$17,'Raw Data'!N224&gt;=$B$18),SUMPRODUCT(('Raw Data'!$G$2:$G224=$B$17)*('Raw Data'!$K$2:$K224=$E$17)*('Raw Data'!$N$2:$N224&gt;=$B$18)),"")</f>
        <v/>
      </c>
    </row>
    <row r="225" spans="20:20" x14ac:dyDescent="0.3">
      <c r="T225" t="str">
        <f>IF(AND('Raw Data'!G225=$B$17,'Raw Data'!K225=$E$17,'Raw Data'!N225&gt;=$B$18),SUMPRODUCT(('Raw Data'!$G$2:$G225=$B$17)*('Raw Data'!$K$2:$K225=$E$17)*('Raw Data'!$N$2:$N225&gt;=$B$18)),"")</f>
        <v/>
      </c>
    </row>
    <row r="226" spans="20:20" x14ac:dyDescent="0.3">
      <c r="T226" t="str">
        <f>IF(AND('Raw Data'!G226=$B$17,'Raw Data'!K226=$E$17,'Raw Data'!N226&gt;=$B$18),SUMPRODUCT(('Raw Data'!$G$2:$G226=$B$17)*('Raw Data'!$K$2:$K226=$E$17)*('Raw Data'!$N$2:$N226&gt;=$B$18)),"")</f>
        <v/>
      </c>
    </row>
    <row r="227" spans="20:20" x14ac:dyDescent="0.3">
      <c r="T227" t="str">
        <f>IF(AND('Raw Data'!G227=$B$17,'Raw Data'!K227=$E$17,'Raw Data'!N227&gt;=$B$18),SUMPRODUCT(('Raw Data'!$G$2:$G227=$B$17)*('Raw Data'!$K$2:$K227=$E$17)*('Raw Data'!$N$2:$N227&gt;=$B$18)),"")</f>
        <v/>
      </c>
    </row>
    <row r="228" spans="20:20" x14ac:dyDescent="0.3">
      <c r="T228" t="str">
        <f>IF(AND('Raw Data'!G228=$B$17,'Raw Data'!K228=$E$17,'Raw Data'!N228&gt;=$B$18),SUMPRODUCT(('Raw Data'!$G$2:$G228=$B$17)*('Raw Data'!$K$2:$K228=$E$17)*('Raw Data'!$N$2:$N228&gt;=$B$18)),"")</f>
        <v/>
      </c>
    </row>
    <row r="229" spans="20:20" x14ac:dyDescent="0.3">
      <c r="T229" t="str">
        <f>IF(AND('Raw Data'!G229=$B$17,'Raw Data'!K229=$E$17,'Raw Data'!N229&gt;=$B$18),SUMPRODUCT(('Raw Data'!$G$2:$G229=$B$17)*('Raw Data'!$K$2:$K229=$E$17)*('Raw Data'!$N$2:$N229&gt;=$B$18)),"")</f>
        <v/>
      </c>
    </row>
    <row r="230" spans="20:20" x14ac:dyDescent="0.3">
      <c r="T230" t="str">
        <f>IF(AND('Raw Data'!G230=$B$17,'Raw Data'!K230=$E$17,'Raw Data'!N230&gt;=$B$18),SUMPRODUCT(('Raw Data'!$G$2:$G230=$B$17)*('Raw Data'!$K$2:$K230=$E$17)*('Raw Data'!$N$2:$N230&gt;=$B$18)),"")</f>
        <v/>
      </c>
    </row>
    <row r="231" spans="20:20" x14ac:dyDescent="0.3">
      <c r="T231" t="str">
        <f>IF(AND('Raw Data'!G231=$B$17,'Raw Data'!K231=$E$17,'Raw Data'!N231&gt;=$B$18),SUMPRODUCT(('Raw Data'!$G$2:$G231=$B$17)*('Raw Data'!$K$2:$K231=$E$17)*('Raw Data'!$N$2:$N231&gt;=$B$18)),"")</f>
        <v/>
      </c>
    </row>
    <row r="232" spans="20:20" x14ac:dyDescent="0.3">
      <c r="T232" t="str">
        <f>IF(AND('Raw Data'!G232=$B$17,'Raw Data'!K232=$E$17,'Raw Data'!N232&gt;=$B$18),SUMPRODUCT(('Raw Data'!$G$2:$G232=$B$17)*('Raw Data'!$K$2:$K232=$E$17)*('Raw Data'!$N$2:$N232&gt;=$B$18)),"")</f>
        <v/>
      </c>
    </row>
    <row r="233" spans="20:20" x14ac:dyDescent="0.3">
      <c r="T233" t="str">
        <f>IF(AND('Raw Data'!G233=$B$17,'Raw Data'!K233=$E$17,'Raw Data'!N233&gt;=$B$18),SUMPRODUCT(('Raw Data'!$G$2:$G233=$B$17)*('Raw Data'!$K$2:$K233=$E$17)*('Raw Data'!$N$2:$N233&gt;=$B$18)),"")</f>
        <v/>
      </c>
    </row>
    <row r="234" spans="20:20" x14ac:dyDescent="0.3">
      <c r="T234" t="str">
        <f>IF(AND('Raw Data'!G234=$B$17,'Raw Data'!K234=$E$17,'Raw Data'!N234&gt;=$B$18),SUMPRODUCT(('Raw Data'!$G$2:$G234=$B$17)*('Raw Data'!$K$2:$K234=$E$17)*('Raw Data'!$N$2:$N234&gt;=$B$18)),"")</f>
        <v/>
      </c>
    </row>
    <row r="235" spans="20:20" x14ac:dyDescent="0.3">
      <c r="T235" t="str">
        <f>IF(AND('Raw Data'!G235=$B$17,'Raw Data'!K235=$E$17,'Raw Data'!N235&gt;=$B$18),SUMPRODUCT(('Raw Data'!$G$2:$G235=$B$17)*('Raw Data'!$K$2:$K235=$E$17)*('Raw Data'!$N$2:$N235&gt;=$B$18)),"")</f>
        <v/>
      </c>
    </row>
    <row r="236" spans="20:20" x14ac:dyDescent="0.3">
      <c r="T236" t="str">
        <f>IF(AND('Raw Data'!G236=$B$17,'Raw Data'!K236=$E$17,'Raw Data'!N236&gt;=$B$18),SUMPRODUCT(('Raw Data'!$G$2:$G236=$B$17)*('Raw Data'!$K$2:$K236=$E$17)*('Raw Data'!$N$2:$N236&gt;=$B$18)),"")</f>
        <v/>
      </c>
    </row>
    <row r="237" spans="20:20" x14ac:dyDescent="0.3">
      <c r="T237">
        <f>IF(AND('Raw Data'!G237=$B$17,'Raw Data'!K237=$E$17,'Raw Data'!N237&gt;=$B$18),SUMPRODUCT(('Raw Data'!$G$2:$G237=$B$17)*('Raw Data'!$K$2:$K237=$E$17)*('Raw Data'!$N$2:$N237&gt;=$B$18)),"")</f>
        <v>20</v>
      </c>
    </row>
    <row r="238" spans="20:20" x14ac:dyDescent="0.3">
      <c r="T238">
        <f>IF(AND('Raw Data'!G238=$B$17,'Raw Data'!K238=$E$17,'Raw Data'!N238&gt;=$B$18),SUMPRODUCT(('Raw Data'!$G$2:$G238=$B$17)*('Raw Data'!$K$2:$K238=$E$17)*('Raw Data'!$N$2:$N238&gt;=$B$18)),"")</f>
        <v>21</v>
      </c>
    </row>
    <row r="239" spans="20:20" x14ac:dyDescent="0.3">
      <c r="T239" t="str">
        <f>IF(AND('Raw Data'!G239=$B$17,'Raw Data'!K239=$E$17,'Raw Data'!N239&gt;=$B$18),SUMPRODUCT(('Raw Data'!$G$2:$G239=$B$17)*('Raw Data'!$K$2:$K239=$E$17)*('Raw Data'!$N$2:$N239&gt;=$B$18)),"")</f>
        <v/>
      </c>
    </row>
    <row r="240" spans="20:20" x14ac:dyDescent="0.3">
      <c r="T240" t="str">
        <f>IF(AND('Raw Data'!G240=$B$17,'Raw Data'!K240=$E$17,'Raw Data'!N240&gt;=$B$18),SUMPRODUCT(('Raw Data'!$G$2:$G240=$B$17)*('Raw Data'!$K$2:$K240=$E$17)*('Raw Data'!$N$2:$N240&gt;=$B$18)),"")</f>
        <v/>
      </c>
    </row>
    <row r="241" spans="20:20" x14ac:dyDescent="0.3">
      <c r="T241" t="str">
        <f>IF(AND('Raw Data'!G241=$B$17,'Raw Data'!K241=$E$17,'Raw Data'!N241&gt;=$B$18),SUMPRODUCT(('Raw Data'!$G$2:$G241=$B$17)*('Raw Data'!$K$2:$K241=$E$17)*('Raw Data'!$N$2:$N241&gt;=$B$18)),"")</f>
        <v/>
      </c>
    </row>
    <row r="242" spans="20:20" x14ac:dyDescent="0.3">
      <c r="T242" t="str">
        <f>IF(AND('Raw Data'!G242=$B$17,'Raw Data'!K242=$E$17,'Raw Data'!N242&gt;=$B$18),SUMPRODUCT(('Raw Data'!$G$2:$G242=$B$17)*('Raw Data'!$K$2:$K242=$E$17)*('Raw Data'!$N$2:$N242&gt;=$B$18)),"")</f>
        <v/>
      </c>
    </row>
    <row r="243" spans="20:20" x14ac:dyDescent="0.3">
      <c r="T243" t="str">
        <f>IF(AND('Raw Data'!G243=$B$17,'Raw Data'!K243=$E$17,'Raw Data'!N243&gt;=$B$18),SUMPRODUCT(('Raw Data'!$G$2:$G243=$B$17)*('Raw Data'!$K$2:$K243=$E$17)*('Raw Data'!$N$2:$N243&gt;=$B$18)),"")</f>
        <v/>
      </c>
    </row>
    <row r="244" spans="20:20" x14ac:dyDescent="0.3">
      <c r="T244" t="str">
        <f>IF(AND('Raw Data'!G244=$B$17,'Raw Data'!K244=$E$17,'Raw Data'!N244&gt;=$B$18),SUMPRODUCT(('Raw Data'!$G$2:$G244=$B$17)*('Raw Data'!$K$2:$K244=$E$17)*('Raw Data'!$N$2:$N244&gt;=$B$18)),"")</f>
        <v/>
      </c>
    </row>
    <row r="245" spans="20:20" x14ac:dyDescent="0.3">
      <c r="T245">
        <f>IF(AND('Raw Data'!G245=$B$17,'Raw Data'!K245=$E$17,'Raw Data'!N245&gt;=$B$18),SUMPRODUCT(('Raw Data'!$G$2:$G245=$B$17)*('Raw Data'!$K$2:$K245=$E$17)*('Raw Data'!$N$2:$N245&gt;=$B$18)),"")</f>
        <v>22</v>
      </c>
    </row>
    <row r="246" spans="20:20" x14ac:dyDescent="0.3">
      <c r="T246" t="str">
        <f>IF(AND('Raw Data'!G246=$B$17,'Raw Data'!K246=$E$17,'Raw Data'!N246&gt;=$B$18),SUMPRODUCT(('Raw Data'!$G$2:$G246=$B$17)*('Raw Data'!$K$2:$K246=$E$17)*('Raw Data'!$N$2:$N246&gt;=$B$18)),"")</f>
        <v/>
      </c>
    </row>
    <row r="247" spans="20:20" x14ac:dyDescent="0.3">
      <c r="T247" t="str">
        <f>IF(AND('Raw Data'!G247=$B$17,'Raw Data'!K247=$E$17,'Raw Data'!N247&gt;=$B$18),SUMPRODUCT(('Raw Data'!$G$2:$G247=$B$17)*('Raw Data'!$K$2:$K247=$E$17)*('Raw Data'!$N$2:$N247&gt;=$B$18)),"")</f>
        <v/>
      </c>
    </row>
    <row r="248" spans="20:20" x14ac:dyDescent="0.3">
      <c r="T248" t="str">
        <f>IF(AND('Raw Data'!G248=$B$17,'Raw Data'!K248=$E$17,'Raw Data'!N248&gt;=$B$18),SUMPRODUCT(('Raw Data'!$G$2:$G248=$B$17)*('Raw Data'!$K$2:$K248=$E$17)*('Raw Data'!$N$2:$N248&gt;=$B$18)),"")</f>
        <v/>
      </c>
    </row>
    <row r="249" spans="20:20" x14ac:dyDescent="0.3">
      <c r="T249">
        <f>IF(AND('Raw Data'!G249=$B$17,'Raw Data'!K249=$E$17,'Raw Data'!N249&gt;=$B$18),SUMPRODUCT(('Raw Data'!$G$2:$G249=$B$17)*('Raw Data'!$K$2:$K249=$E$17)*('Raw Data'!$N$2:$N249&gt;=$B$18)),"")</f>
        <v>23</v>
      </c>
    </row>
    <row r="250" spans="20:20" x14ac:dyDescent="0.3">
      <c r="T250" t="str">
        <f>IF(AND('Raw Data'!G250=$B$17,'Raw Data'!K250=$E$17,'Raw Data'!N250&gt;=$B$18),SUMPRODUCT(('Raw Data'!$G$2:$G250=$B$17)*('Raw Data'!$K$2:$K250=$E$17)*('Raw Data'!$N$2:$N250&gt;=$B$18)),"")</f>
        <v/>
      </c>
    </row>
    <row r="251" spans="20:20" x14ac:dyDescent="0.3">
      <c r="T251" t="str">
        <f>IF(AND('Raw Data'!G251=$B$17,'Raw Data'!K251=$E$17,'Raw Data'!N251&gt;=$B$18),SUMPRODUCT(('Raw Data'!$G$2:$G251=$B$17)*('Raw Data'!$K$2:$K251=$E$17)*('Raw Data'!$N$2:$N251&gt;=$B$18)),"")</f>
        <v/>
      </c>
    </row>
  </sheetData>
  <mergeCells count="14">
    <mergeCell ref="A1:F1"/>
    <mergeCell ref="A3:F3"/>
    <mergeCell ref="A16:G16"/>
    <mergeCell ref="D18:J18"/>
    <mergeCell ref="A44:I44"/>
    <mergeCell ref="A166:I166"/>
    <mergeCell ref="A173:I173"/>
    <mergeCell ref="A175:I175"/>
    <mergeCell ref="A196:I196"/>
    <mergeCell ref="A97:I97"/>
    <mergeCell ref="A115:I115"/>
    <mergeCell ref="A138:F138"/>
    <mergeCell ref="A140:I140"/>
    <mergeCell ref="A158:I158"/>
  </mergeCells>
  <conditionalFormatting sqref="A46:H95">
    <cfRule type="expression" dxfId="0" priority="3">
      <formula>$G46&lt;=10</formula>
    </cfRule>
  </conditionalFormatting>
  <conditionalFormatting sqref="E46:E95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{E5FED55F-D372-4E1E-8280-5B2198D6385F}</x14:id>
        </ext>
      </extLst>
    </cfRule>
  </conditionalFormatting>
  <dataValidations count="2">
    <dataValidation type="list" sqref="B17" xr:uid="{00000000-0002-0000-0200-000000000000}">
      <formula1>"Electronics,Appliances,Furniture"</formula1>
      <formula2>0</formula2>
    </dataValidation>
    <dataValidation type="list" sqref="E17" xr:uid="{00000000-0002-0000-0200-000001000000}">
      <formula1>"Central,East,North,South,West"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FED55F-D372-4E1E-8280-5B2198D6385F}">
            <x14:dataBar axisPosition="none">
              <x14:cfvo type="min"/>
              <x14:cfvo type="max"/>
              <x14:negativeFillColor rgb="FF2E75B6"/>
            </x14:dataBar>
          </x14:cfRule>
          <xm:sqref>E46:E95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showGridLines="0" zoomScaleNormal="100" workbookViewId="0">
      <selection activeCell="G15" sqref="G15"/>
    </sheetView>
  </sheetViews>
  <sheetFormatPr defaultColWidth="8.6640625" defaultRowHeight="14.4" x14ac:dyDescent="0.3"/>
  <cols>
    <col min="1" max="1" width="20" customWidth="1"/>
    <col min="2" max="8" width="16" customWidth="1"/>
  </cols>
  <sheetData>
    <row r="1" spans="1:6" ht="21" x14ac:dyDescent="0.4">
      <c r="A1" s="39" t="s">
        <v>468</v>
      </c>
      <c r="B1" s="39"/>
      <c r="C1" s="39"/>
      <c r="D1" s="39"/>
      <c r="E1" s="39"/>
      <c r="F1" s="39"/>
    </row>
    <row r="3" spans="1:6" ht="19.5" customHeight="1" x14ac:dyDescent="0.3">
      <c r="A3" s="36" t="s">
        <v>469</v>
      </c>
      <c r="B3" s="36"/>
      <c r="D3" s="36" t="s">
        <v>470</v>
      </c>
      <c r="E3" s="36"/>
    </row>
    <row r="4" spans="1:6" x14ac:dyDescent="0.3">
      <c r="A4" s="18" t="s">
        <v>9</v>
      </c>
      <c r="B4" s="18" t="s">
        <v>429</v>
      </c>
      <c r="D4" s="18" t="s">
        <v>419</v>
      </c>
      <c r="E4" s="18" t="s">
        <v>429</v>
      </c>
    </row>
    <row r="5" spans="1:6" x14ac:dyDescent="0.3">
      <c r="A5" s="14" t="s">
        <v>20</v>
      </c>
      <c r="B5" s="26">
        <f>SUMIF('Raw Data'!$J$2:$J$251,A5,'Raw Data'!$N$2:$N$251)</f>
        <v>57427.790000000023</v>
      </c>
      <c r="D5" s="14" t="s">
        <v>22</v>
      </c>
      <c r="E5" s="26">
        <f>SUMIF('Raw Data'!$L$2:$L$251,D5,'Raw Data'!$N$2:$N$251)</f>
        <v>62177.810000000019</v>
      </c>
    </row>
    <row r="6" spans="1:6" x14ac:dyDescent="0.3">
      <c r="A6" s="14" t="s">
        <v>26</v>
      </c>
      <c r="B6" s="26">
        <f>SUMIF('Raw Data'!$J$2:$J$251,A6,'Raw Data'!$N$2:$N$251)</f>
        <v>61447.960000000014</v>
      </c>
      <c r="D6" s="14" t="s">
        <v>36</v>
      </c>
      <c r="E6" s="26">
        <f>SUMIF('Raw Data'!$L$2:$L$251,D6,'Raw Data'!$N$2:$N$251)</f>
        <v>82357.540000000037</v>
      </c>
    </row>
    <row r="7" spans="1:6" x14ac:dyDescent="0.3">
      <c r="A7" s="14" t="s">
        <v>57</v>
      </c>
      <c r="B7" s="26">
        <f>SUMIF('Raw Data'!$J$2:$J$251,A7,'Raw Data'!$N$2:$N$251)</f>
        <v>52118.310000000005</v>
      </c>
      <c r="D7" s="14" t="s">
        <v>27</v>
      </c>
      <c r="E7" s="26">
        <f>SUMIF('Raw Data'!$L$2:$L$251,D7,'Raw Data'!$N$2:$N$251)</f>
        <v>84657.12000000001</v>
      </c>
    </row>
    <row r="8" spans="1:6" x14ac:dyDescent="0.3">
      <c r="A8" s="14" t="s">
        <v>34</v>
      </c>
      <c r="B8" s="26">
        <f>SUMIF('Raw Data'!$J$2:$J$251,A8,'Raw Data'!$N$2:$N$251)</f>
        <v>58198.409999999996</v>
      </c>
    </row>
    <row r="11" spans="1:6" ht="19.5" customHeight="1" x14ac:dyDescent="0.3">
      <c r="A11" s="36" t="s">
        <v>471</v>
      </c>
      <c r="B11" s="36"/>
    </row>
    <row r="12" spans="1:6" x14ac:dyDescent="0.3">
      <c r="A12" s="18" t="s">
        <v>472</v>
      </c>
      <c r="B12" s="18" t="s">
        <v>429</v>
      </c>
    </row>
    <row r="13" spans="1:6" x14ac:dyDescent="0.3">
      <c r="A13" s="14" t="str">
        <f>Analysis!B99</f>
        <v>Laptop</v>
      </c>
      <c r="B13" s="26">
        <f>Analysis!F99</f>
        <v>67499.25</v>
      </c>
    </row>
    <row r="14" spans="1:6" x14ac:dyDescent="0.3">
      <c r="A14" s="14" t="str">
        <f>Analysis!B100</f>
        <v>Smartphone</v>
      </c>
      <c r="B14" s="26">
        <f>Analysis!F100</f>
        <v>67199.039999999994</v>
      </c>
    </row>
    <row r="15" spans="1:6" x14ac:dyDescent="0.3">
      <c r="A15" s="14" t="str">
        <f>Analysis!B101</f>
        <v>Headphones</v>
      </c>
      <c r="B15" s="26">
        <f>Analysis!F101</f>
        <v>7049.5299999999988</v>
      </c>
    </row>
    <row r="16" spans="1:6" x14ac:dyDescent="0.3">
      <c r="A16" s="14" t="str">
        <f>Analysis!B102</f>
        <v>Coffee Maker</v>
      </c>
      <c r="B16" s="26">
        <f>Analysis!F102</f>
        <v>3119.6099999999992</v>
      </c>
    </row>
    <row r="17" spans="1:2" x14ac:dyDescent="0.3">
      <c r="A17" s="14" t="str">
        <f>Analysis!B103</f>
        <v>Blender</v>
      </c>
      <c r="B17" s="26">
        <f>Analysis!F103</f>
        <v>5219.1299999999974</v>
      </c>
    </row>
    <row r="18" spans="1:2" x14ac:dyDescent="0.3">
      <c r="A18" s="14" t="str">
        <f>Analysis!B104</f>
        <v>Office Chair</v>
      </c>
      <c r="B18" s="26">
        <f>Analysis!F104</f>
        <v>10399.479999999998</v>
      </c>
    </row>
    <row r="19" spans="1:2" x14ac:dyDescent="0.3">
      <c r="A19" s="14" t="str">
        <f>Analysis!B105</f>
        <v>Desk</v>
      </c>
      <c r="B19" s="26">
        <f>Analysis!F105</f>
        <v>23399.22</v>
      </c>
    </row>
    <row r="20" spans="1:2" x14ac:dyDescent="0.3">
      <c r="A20" s="14" t="str">
        <f>Analysis!B106</f>
        <v>Bookshelf</v>
      </c>
      <c r="B20" s="26">
        <f>Analysis!F106</f>
        <v>15298.979999999994</v>
      </c>
    </row>
    <row r="21" spans="1:2" x14ac:dyDescent="0.3">
      <c r="A21" s="14" t="str">
        <f>Analysis!B107</f>
        <v>Monitor</v>
      </c>
      <c r="B21" s="26">
        <f>Analysis!F107</f>
        <v>21999.119999999999</v>
      </c>
    </row>
    <row r="22" spans="1:2" x14ac:dyDescent="0.3">
      <c r="A22" s="14" t="str">
        <f>Analysis!B108</f>
        <v>Keyboard</v>
      </c>
      <c r="B22" s="26">
        <f>Analysis!F108</f>
        <v>8009.1099999999969</v>
      </c>
    </row>
    <row r="58" spans="1:8" ht="19.5" customHeight="1" x14ac:dyDescent="0.3">
      <c r="A58" s="36" t="s">
        <v>473</v>
      </c>
      <c r="B58" s="36"/>
      <c r="C58" s="36"/>
      <c r="D58" s="36"/>
      <c r="E58" s="36"/>
      <c r="F58" s="36"/>
    </row>
    <row r="59" spans="1:8" ht="15.75" customHeight="1" x14ac:dyDescent="0.3">
      <c r="A59" s="40" t="s">
        <v>474</v>
      </c>
      <c r="B59" s="40"/>
      <c r="C59" s="40"/>
      <c r="D59" s="40"/>
      <c r="E59" s="40"/>
      <c r="F59" s="40"/>
      <c r="G59" s="40"/>
      <c r="H59" s="40"/>
    </row>
    <row r="60" spans="1:8" ht="15.75" customHeight="1" x14ac:dyDescent="0.3">
      <c r="A60" s="40" t="s">
        <v>475</v>
      </c>
      <c r="B60" s="40"/>
      <c r="C60" s="40"/>
      <c r="D60" s="40"/>
      <c r="E60" s="40"/>
      <c r="F60" s="40"/>
      <c r="G60" s="40"/>
      <c r="H60" s="40"/>
    </row>
    <row r="61" spans="1:8" ht="15.75" customHeight="1" x14ac:dyDescent="0.3">
      <c r="A61" s="40" t="s">
        <v>476</v>
      </c>
      <c r="B61" s="40"/>
      <c r="C61" s="40"/>
      <c r="D61" s="40"/>
      <c r="E61" s="40"/>
      <c r="F61" s="40"/>
      <c r="G61" s="40"/>
      <c r="H61" s="40"/>
    </row>
    <row r="62" spans="1:8" ht="15.75" customHeight="1" x14ac:dyDescent="0.3">
      <c r="A62" s="40" t="s">
        <v>477</v>
      </c>
      <c r="B62" s="40"/>
      <c r="C62" s="40"/>
      <c r="D62" s="40"/>
      <c r="E62" s="40"/>
      <c r="F62" s="40"/>
      <c r="G62" s="40"/>
      <c r="H62" s="40"/>
    </row>
    <row r="63" spans="1:8" ht="15.75" customHeight="1" x14ac:dyDescent="0.3">
      <c r="A63" s="40" t="s">
        <v>478</v>
      </c>
      <c r="B63" s="40"/>
      <c r="C63" s="40"/>
      <c r="D63" s="40"/>
      <c r="E63" s="40"/>
      <c r="F63" s="40"/>
      <c r="G63" s="40"/>
      <c r="H63" s="40"/>
    </row>
    <row r="64" spans="1:8" ht="15.75" customHeight="1" x14ac:dyDescent="0.3">
      <c r="A64" s="40" t="s">
        <v>479</v>
      </c>
      <c r="B64" s="40"/>
      <c r="C64" s="40"/>
      <c r="D64" s="40"/>
      <c r="E64" s="40"/>
      <c r="F64" s="40"/>
      <c r="G64" s="40"/>
      <c r="H64" s="40"/>
    </row>
    <row r="65" spans="1:8" ht="15.75" customHeight="1" x14ac:dyDescent="0.3">
      <c r="A65" s="40" t="s">
        <v>480</v>
      </c>
      <c r="B65" s="40"/>
      <c r="C65" s="40"/>
      <c r="D65" s="40"/>
      <c r="E65" s="40"/>
      <c r="F65" s="40"/>
      <c r="G65" s="40"/>
      <c r="H65" s="40"/>
    </row>
    <row r="67" spans="1:8" ht="25.5" customHeight="1" x14ac:dyDescent="0.3">
      <c r="A67" s="35" t="s">
        <v>481</v>
      </c>
      <c r="B67" s="35"/>
      <c r="C67" s="35"/>
      <c r="D67" s="35"/>
      <c r="E67" s="35"/>
      <c r="F67" s="35"/>
      <c r="G67" s="35"/>
      <c r="H67" s="35"/>
    </row>
  </sheetData>
  <mergeCells count="13">
    <mergeCell ref="A1:F1"/>
    <mergeCell ref="A3:B3"/>
    <mergeCell ref="D3:E3"/>
    <mergeCell ref="A11:B11"/>
    <mergeCell ref="A58:F58"/>
    <mergeCell ref="A64:H64"/>
    <mergeCell ref="A65:H65"/>
    <mergeCell ref="A67:H67"/>
    <mergeCell ref="A59:H59"/>
    <mergeCell ref="A60:H60"/>
    <mergeCell ref="A61:H61"/>
    <mergeCell ref="A62:H62"/>
    <mergeCell ref="A63:H6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9"/>
  <sheetViews>
    <sheetView showGridLines="0" zoomScaleNormal="100" workbookViewId="0">
      <selection activeCell="F50" sqref="F50"/>
    </sheetView>
  </sheetViews>
  <sheetFormatPr defaultColWidth="8.6640625" defaultRowHeight="14.4" x14ac:dyDescent="0.3"/>
  <cols>
    <col min="1" max="1" width="20" customWidth="1"/>
    <col min="2" max="10" width="16" customWidth="1"/>
    <col min="11" max="14" width="14" customWidth="1"/>
  </cols>
  <sheetData>
    <row r="1" spans="1:12" ht="22.8" x14ac:dyDescent="0.4">
      <c r="A1" s="47" t="s">
        <v>482</v>
      </c>
      <c r="B1" s="48"/>
      <c r="C1" s="48"/>
      <c r="D1" s="48"/>
      <c r="E1" s="48"/>
      <c r="F1" s="48"/>
      <c r="G1" s="48"/>
      <c r="H1" s="48"/>
    </row>
    <row r="2" spans="1:12" x14ac:dyDescent="0.3">
      <c r="A2" s="37" t="str">
        <f ca="1">"Last refreshed: "&amp;TEXT(Analysis!B4,"mmm dd, yyyy hh:mm AM/PM")</f>
        <v>Last refreshed: Sep 23, 2026 11:22 AM</v>
      </c>
      <c r="B2" s="37"/>
      <c r="C2" s="37"/>
      <c r="D2" s="37"/>
      <c r="E2" s="37"/>
      <c r="F2" s="37"/>
      <c r="G2" s="37"/>
      <c r="H2" s="37"/>
    </row>
    <row r="4" spans="1:12" x14ac:dyDescent="0.3">
      <c r="A4" s="42" t="s">
        <v>483</v>
      </c>
      <c r="B4" s="42"/>
      <c r="C4" s="42" t="s">
        <v>484</v>
      </c>
      <c r="D4" s="42"/>
      <c r="E4" s="42" t="s">
        <v>485</v>
      </c>
      <c r="F4" s="42"/>
      <c r="G4" s="42" t="s">
        <v>422</v>
      </c>
      <c r="H4" s="42"/>
      <c r="I4" s="42" t="s">
        <v>486</v>
      </c>
      <c r="J4" s="42"/>
      <c r="K4" s="42" t="s">
        <v>487</v>
      </c>
      <c r="L4" s="42"/>
    </row>
    <row r="5" spans="1:12" x14ac:dyDescent="0.3">
      <c r="A5" s="43">
        <f>SUM('Raw Data'!N2:N251)</f>
        <v>229192.47000000032</v>
      </c>
      <c r="B5" s="43"/>
      <c r="C5" s="44">
        <f>COUNTA('Raw Data'!A2:A251)</f>
        <v>250</v>
      </c>
      <c r="D5" s="44"/>
      <c r="E5" s="44">
        <f>SUMPRODUCT((COUNTIF('Raw Data'!C2:C251,'Raw Data'!C2:C251))^-1)</f>
        <v>50.000000000000028</v>
      </c>
      <c r="F5" s="44"/>
      <c r="G5" s="45">
        <f>AVERAGE('Raw Data'!N2:N251)</f>
        <v>916.76988000000131</v>
      </c>
      <c r="H5" s="45"/>
      <c r="I5" s="44">
        <f>SUM('Raw Data'!H2:H251)</f>
        <v>753</v>
      </c>
      <c r="J5" s="44"/>
      <c r="K5" s="46" t="str">
        <f>INDEX({"Central";"East";"North";"South";"West"},MATCH(MAX(SUMIF('Raw Data'!K2:K251,{"Central";"East";"North";"South";"West"},'Raw Data'!N2:N251)),SUMIF('Raw Data'!K2:K251,{"Central";"East";"North";"South";"West"},'Raw Data'!N2:N251),0))</f>
        <v>East</v>
      </c>
      <c r="L5" s="46"/>
    </row>
    <row r="6" spans="1:12" x14ac:dyDescent="0.3">
      <c r="A6" s="43"/>
      <c r="B6" s="43"/>
      <c r="C6" s="44"/>
      <c r="D6" s="44"/>
      <c r="E6" s="44"/>
      <c r="F6" s="44"/>
      <c r="G6" s="45"/>
      <c r="H6" s="45"/>
      <c r="I6" s="44"/>
      <c r="J6" s="44"/>
      <c r="K6" s="46"/>
      <c r="L6" s="46"/>
    </row>
    <row r="8" spans="1:12" ht="19.5" customHeight="1" x14ac:dyDescent="0.3">
      <c r="A8" s="36" t="s">
        <v>488</v>
      </c>
      <c r="B8" s="36"/>
      <c r="C8" s="36"/>
      <c r="D8" s="36"/>
      <c r="E8" s="36"/>
      <c r="F8" s="36"/>
      <c r="G8" s="36"/>
      <c r="H8" s="36"/>
      <c r="I8" s="36"/>
    </row>
    <row r="9" spans="1:12" x14ac:dyDescent="0.3">
      <c r="A9" s="5" t="s">
        <v>414</v>
      </c>
      <c r="B9" s="11" t="s">
        <v>489</v>
      </c>
      <c r="D9" s="5" t="s">
        <v>413</v>
      </c>
      <c r="E9" s="11" t="s">
        <v>489</v>
      </c>
      <c r="G9" s="5" t="s">
        <v>490</v>
      </c>
      <c r="H9" s="11" t="s">
        <v>489</v>
      </c>
    </row>
    <row r="10" spans="1:12" ht="15.6" x14ac:dyDescent="0.3">
      <c r="A10" s="5" t="s">
        <v>491</v>
      </c>
      <c r="B10" s="27">
        <f>SUMPRODUCT((($B$9="All")+('Raw Data'!$K$2:$K$251=$B$9))&gt;0,((($E$9="All")+('Raw Data'!$G$2:$G$251=$E$9))&gt;0)*1,((($H$9="All")+('Raw Data'!$L$2:$L$251=$H$9))&gt;0)*1,'Raw Data'!$N$2:$N$251)</f>
        <v>0</v>
      </c>
      <c r="D10" s="5" t="s">
        <v>492</v>
      </c>
      <c r="E10" s="28">
        <f>SUMPRODUCT((($B$9="All")+('Raw Data'!$K$2:$K$251=$B$9))&gt;0,((($E$9="All")+('Raw Data'!$G$2:$G$251=$E$9))&gt;0)*1,((($H$9="All")+('Raw Data'!$L$2:$L$251=$H$9))&gt;0)*1)</f>
        <v>0</v>
      </c>
    </row>
    <row r="13" spans="1:12" ht="19.5" customHeight="1" x14ac:dyDescent="0.3">
      <c r="A13" s="36" t="s">
        <v>493</v>
      </c>
      <c r="B13" s="36"/>
      <c r="C13" s="36"/>
      <c r="E13" s="41" t="s">
        <v>494</v>
      </c>
      <c r="F13" s="36"/>
    </row>
    <row r="14" spans="1:12" x14ac:dyDescent="0.3">
      <c r="A14" s="13" t="s">
        <v>10</v>
      </c>
      <c r="B14" s="13" t="s">
        <v>429</v>
      </c>
      <c r="C14" s="13" t="s">
        <v>420</v>
      </c>
      <c r="E14" s="13" t="s">
        <v>6</v>
      </c>
      <c r="F14" s="13" t="s">
        <v>429</v>
      </c>
    </row>
    <row r="15" spans="1:12" x14ac:dyDescent="0.3">
      <c r="A15" s="14" t="s">
        <v>21</v>
      </c>
      <c r="B15" s="26">
        <f>SUMIF('Raw Data'!$K$2:$K$251,A15,'Raw Data'!$N$2:$N$251)</f>
        <v>41288.340000000018</v>
      </c>
      <c r="C15" s="14">
        <f>COUNTIF('Raw Data'!$K$2:$K$251,A15)</f>
        <v>54</v>
      </c>
      <c r="E15" s="14" t="s">
        <v>19</v>
      </c>
      <c r="F15" s="26">
        <f>SUMIF('Raw Data'!$G$2:$G$251,E15,'Raw Data'!$N$2:$N$251)</f>
        <v>171756.05000000013</v>
      </c>
    </row>
    <row r="16" spans="1:12" x14ac:dyDescent="0.3">
      <c r="A16" s="14" t="s">
        <v>63</v>
      </c>
      <c r="B16" s="26">
        <f>SUMIF('Raw Data'!$K$2:$K$251,A16,'Raw Data'!$N$2:$N$251)</f>
        <v>59288.389999999992</v>
      </c>
      <c r="C16" s="14">
        <f>COUNTIF('Raw Data'!$K$2:$K$251,A16)</f>
        <v>48</v>
      </c>
      <c r="E16" s="14" t="s">
        <v>33</v>
      </c>
      <c r="F16" s="26">
        <f>SUMIF('Raw Data'!$G$2:$G$251,E16,'Raw Data'!$N$2:$N$251)</f>
        <v>8338.7399999999961</v>
      </c>
    </row>
    <row r="17" spans="1:8" x14ac:dyDescent="0.3">
      <c r="A17" s="14" t="s">
        <v>40</v>
      </c>
      <c r="B17" s="26">
        <f>SUMIF('Raw Data'!$K$2:$K$251,A17,'Raw Data'!$N$2:$N$251)</f>
        <v>50808.310000000012</v>
      </c>
      <c r="C17" s="14">
        <f>COUNTIF('Raw Data'!$K$2:$K$251,A17)</f>
        <v>59</v>
      </c>
      <c r="E17" s="14" t="s">
        <v>46</v>
      </c>
      <c r="F17" s="26">
        <f>SUMIF('Raw Data'!$G$2:$G$251,E17,'Raw Data'!$N$2:$N$251)</f>
        <v>49097.680000000015</v>
      </c>
    </row>
    <row r="18" spans="1:8" x14ac:dyDescent="0.3">
      <c r="A18" s="14" t="s">
        <v>35</v>
      </c>
      <c r="B18" s="26">
        <f>SUMIF('Raw Data'!$K$2:$K$251,A18,'Raw Data'!$N$2:$N$251)</f>
        <v>36398.750000000007</v>
      </c>
      <c r="C18" s="14">
        <f>COUNTIF('Raw Data'!$K$2:$K$251,A18)</f>
        <v>42</v>
      </c>
    </row>
    <row r="19" spans="1:8" x14ac:dyDescent="0.3">
      <c r="A19" s="14" t="s">
        <v>50</v>
      </c>
      <c r="B19" s="26">
        <f>SUMIF('Raw Data'!$K$2:$K$251,A19,'Raw Data'!$N$2:$N$251)</f>
        <v>41408.680000000015</v>
      </c>
      <c r="C19" s="14">
        <f>COUNTIF('Raw Data'!$K$2:$K$251,A19)</f>
        <v>47</v>
      </c>
    </row>
    <row r="22" spans="1:8" ht="19.5" customHeight="1" x14ac:dyDescent="0.3">
      <c r="A22" s="36" t="s">
        <v>495</v>
      </c>
      <c r="B22" s="36"/>
      <c r="C22" s="36"/>
      <c r="E22" s="41" t="s">
        <v>496</v>
      </c>
      <c r="F22" s="36"/>
      <c r="G22" s="36"/>
    </row>
    <row r="23" spans="1:8" x14ac:dyDescent="0.3">
      <c r="A23" s="13" t="s">
        <v>460</v>
      </c>
      <c r="B23" s="13" t="s">
        <v>429</v>
      </c>
      <c r="D23" s="13" t="s">
        <v>497</v>
      </c>
      <c r="E23" s="13" t="s">
        <v>498</v>
      </c>
      <c r="F23" s="13" t="s">
        <v>499</v>
      </c>
      <c r="G23" s="13" t="s">
        <v>500</v>
      </c>
      <c r="H23" s="13" t="s">
        <v>501</v>
      </c>
    </row>
    <row r="24" spans="1:8" x14ac:dyDescent="0.3">
      <c r="A24" s="24">
        <f>Analysis!A177</f>
        <v>45383</v>
      </c>
      <c r="B24" s="26">
        <f>Analysis!C177</f>
        <v>20919.330000000002</v>
      </c>
      <c r="D24" s="23">
        <v>0</v>
      </c>
      <c r="E24" s="14" t="s">
        <v>483</v>
      </c>
      <c r="F24" s="26">
        <f>B5</f>
        <v>0</v>
      </c>
      <c r="G24" s="26">
        <v>250000</v>
      </c>
      <c r="H24" s="29">
        <f>F24/G24</f>
        <v>0</v>
      </c>
    </row>
    <row r="25" spans="1:8" x14ac:dyDescent="0.3">
      <c r="A25" s="24">
        <f>Analysis!A178</f>
        <v>45413</v>
      </c>
      <c r="B25" s="26">
        <f>Analysis!C178</f>
        <v>17039.349999999999</v>
      </c>
      <c r="D25" s="23">
        <f t="shared" ref="D25:D36" si="0">IFERROR((B25-B24)/B24,0)</f>
        <v>-0.18547343533468819</v>
      </c>
      <c r="E25" s="14" t="s">
        <v>422</v>
      </c>
      <c r="F25" s="15">
        <f>G5</f>
        <v>916.76988000000131</v>
      </c>
      <c r="G25" s="15">
        <v>900</v>
      </c>
      <c r="H25" s="29">
        <f>F25/G25</f>
        <v>1.0186332000000013</v>
      </c>
    </row>
    <row r="26" spans="1:8" x14ac:dyDescent="0.3">
      <c r="A26" s="24">
        <f>Analysis!A179</f>
        <v>45444</v>
      </c>
      <c r="B26" s="26">
        <f>Analysis!C179</f>
        <v>19299.45</v>
      </c>
      <c r="D26" s="23">
        <f t="shared" si="0"/>
        <v>0.1326400361516139</v>
      </c>
      <c r="E26" s="14" t="s">
        <v>420</v>
      </c>
      <c r="F26" s="30">
        <f>C5</f>
        <v>250</v>
      </c>
      <c r="G26" s="30">
        <v>260</v>
      </c>
      <c r="H26" s="29">
        <f>F26/G26</f>
        <v>0.96153846153846156</v>
      </c>
    </row>
    <row r="27" spans="1:8" x14ac:dyDescent="0.3">
      <c r="A27" s="24">
        <f>Analysis!A180</f>
        <v>45474</v>
      </c>
      <c r="B27" s="26">
        <f>Analysis!C180</f>
        <v>18479.399999999994</v>
      </c>
      <c r="D27" s="23">
        <f t="shared" si="0"/>
        <v>-4.2490848184793172E-2</v>
      </c>
    </row>
    <row r="28" spans="1:8" x14ac:dyDescent="0.3">
      <c r="A28" s="24">
        <f>Analysis!A181</f>
        <v>45505</v>
      </c>
      <c r="B28" s="26">
        <f>Analysis!C181</f>
        <v>15759.429999999997</v>
      </c>
      <c r="D28" s="23">
        <f t="shared" si="0"/>
        <v>-0.14718930268298747</v>
      </c>
    </row>
    <row r="29" spans="1:8" x14ac:dyDescent="0.3">
      <c r="A29" s="24">
        <f>Analysis!A182</f>
        <v>45536</v>
      </c>
      <c r="B29" s="26">
        <f>Analysis!C182</f>
        <v>12989.509999999997</v>
      </c>
      <c r="D29" s="23">
        <f t="shared" si="0"/>
        <v>-0.17576270207742289</v>
      </c>
    </row>
    <row r="30" spans="1:8" x14ac:dyDescent="0.3">
      <c r="A30" s="24">
        <f>Analysis!A183</f>
        <v>45566</v>
      </c>
      <c r="B30" s="26">
        <f>Analysis!C183</f>
        <v>20609.52</v>
      </c>
      <c r="D30" s="23">
        <f t="shared" si="0"/>
        <v>0.58662797903847075</v>
      </c>
    </row>
    <row r="31" spans="1:8" x14ac:dyDescent="0.3">
      <c r="A31" s="24">
        <f>Analysis!A184</f>
        <v>45597</v>
      </c>
      <c r="B31" s="26">
        <f>Analysis!C184</f>
        <v>12309.439999999999</v>
      </c>
      <c r="D31" s="23">
        <f t="shared" si="0"/>
        <v>-0.40273038867474842</v>
      </c>
    </row>
    <row r="32" spans="1:8" x14ac:dyDescent="0.3">
      <c r="A32" s="24">
        <f>Analysis!A185</f>
        <v>45627</v>
      </c>
      <c r="B32" s="26">
        <f>Analysis!C185</f>
        <v>23039.3</v>
      </c>
      <c r="D32" s="23">
        <f t="shared" si="0"/>
        <v>0.87167734681675213</v>
      </c>
    </row>
    <row r="33" spans="1:8" x14ac:dyDescent="0.3">
      <c r="A33" s="24">
        <f>Analysis!A186</f>
        <v>45658</v>
      </c>
      <c r="B33" s="26">
        <f>Analysis!C186</f>
        <v>25799.15</v>
      </c>
      <c r="D33" s="23">
        <f t="shared" si="0"/>
        <v>0.11978879566653511</v>
      </c>
    </row>
    <row r="34" spans="1:8" x14ac:dyDescent="0.3">
      <c r="A34" s="24">
        <f>Analysis!A187</f>
        <v>45689</v>
      </c>
      <c r="B34" s="26">
        <f>Analysis!C187</f>
        <v>16069.379999999997</v>
      </c>
      <c r="D34" s="23">
        <f t="shared" si="0"/>
        <v>-0.37713529321702471</v>
      </c>
    </row>
    <row r="35" spans="1:8" x14ac:dyDescent="0.3">
      <c r="A35" s="24">
        <f>Analysis!A188</f>
        <v>45717</v>
      </c>
      <c r="B35" s="26">
        <f>Analysis!C188</f>
        <v>19899.379999999997</v>
      </c>
      <c r="D35" s="23">
        <f t="shared" si="0"/>
        <v>0.23834149170658736</v>
      </c>
    </row>
    <row r="36" spans="1:8" x14ac:dyDescent="0.3">
      <c r="A36" s="24">
        <f>Analysis!A189</f>
        <v>45748</v>
      </c>
      <c r="B36" s="26">
        <f>Analysis!C189</f>
        <v>6979.829999999999</v>
      </c>
      <c r="D36" s="23">
        <f t="shared" si="0"/>
        <v>-0.6492438457881603</v>
      </c>
    </row>
    <row r="39" spans="1:8" ht="25.5" customHeight="1" x14ac:dyDescent="0.3">
      <c r="A39" s="35" t="s">
        <v>502</v>
      </c>
      <c r="B39" s="35"/>
      <c r="C39" s="35"/>
      <c r="D39" s="35"/>
      <c r="E39" s="35"/>
      <c r="F39" s="35"/>
      <c r="G39" s="35"/>
      <c r="H39" s="35"/>
    </row>
  </sheetData>
  <mergeCells count="20">
    <mergeCell ref="A1:H1"/>
    <mergeCell ref="A2:H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39:H39"/>
    <mergeCell ref="A8:I8"/>
    <mergeCell ref="A13:C13"/>
    <mergeCell ref="E13:F13"/>
    <mergeCell ref="A22:C22"/>
    <mergeCell ref="E22:G22"/>
  </mergeCells>
  <conditionalFormatting sqref="B15:B19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{A5357176-1362-4AE8-A039-84A25B15C05C}</x14:id>
        </ext>
      </extLs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H24:H26">
    <cfRule type="iconSet" priority="4">
      <iconSet>
        <cfvo type="percent" val="0"/>
        <cfvo type="percent" val="60"/>
        <cfvo type="percent" val="90"/>
      </iconSet>
    </cfRule>
  </conditionalFormatting>
  <dataValidations count="3">
    <dataValidation type="list" sqref="B9" xr:uid="{00000000-0002-0000-0400-000000000000}">
      <formula1>"All,Central,East,North,South,West"</formula1>
      <formula2>0</formula2>
    </dataValidation>
    <dataValidation type="list" sqref="E9" xr:uid="{00000000-0002-0000-0400-000001000000}">
      <formula1>"All,Electronics,Appliances,Furniture"</formula1>
      <formula2>0</formula2>
    </dataValidation>
    <dataValidation type="list" sqref="H9" xr:uid="{00000000-0002-0000-0400-000002000000}">
      <formula1>"All,Basic,Standard,Premium"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357176-1362-4AE8-A039-84A25B15C05C}">
            <x14:dataBar axisPosition="none">
              <x14:cfvo type="min"/>
              <x14:cfvo type="max"/>
              <x14:negativeFillColor rgb="FF70AD47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Visualizations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Manav Patel</cp:lastModifiedBy>
  <cp:revision>1</cp:revision>
  <dcterms:created xsi:type="dcterms:W3CDTF">2026-08-18T07:54:53Z</dcterms:created>
  <dcterms:modified xsi:type="dcterms:W3CDTF">2026-09-23T05:52:30Z</dcterms:modified>
  <dc:language>en-US</dc:language>
</cp:coreProperties>
</file>