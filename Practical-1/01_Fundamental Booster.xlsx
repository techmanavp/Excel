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D:\R&amp;W\05_Excel\Practical-1\"/>
    </mc:Choice>
  </mc:AlternateContent>
  <xr:revisionPtr revIDLastSave="0" documentId="13_ncr:1_{35A6E77E-09AD-4A4B-8C2E-C9C1B63DB1A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tudent Marks" sheetId="1" r:id="rId1"/>
    <sheet name="Sales Data" sheetId="3" r:id="rId2"/>
    <sheet name="Sheet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9" i="4" l="1"/>
  <c r="H26" i="4"/>
  <c r="F36" i="4"/>
  <c r="D36" i="4"/>
  <c r="B36" i="4"/>
  <c r="E32" i="4"/>
  <c r="B31" i="4"/>
  <c r="A31" i="4"/>
  <c r="D27" i="4"/>
  <c r="C27" i="4"/>
  <c r="B27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G33" i="3"/>
  <c r="E33" i="3"/>
  <c r="B34" i="3"/>
  <c r="G27" i="3"/>
  <c r="C28" i="3"/>
  <c r="A28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3" i="3"/>
  <c r="J2" i="3"/>
  <c r="H2" i="3"/>
  <c r="H21" i="3"/>
  <c r="H19" i="3"/>
  <c r="H18" i="3"/>
  <c r="H15" i="3"/>
  <c r="H11" i="3"/>
  <c r="H6" i="3"/>
  <c r="H3" i="3"/>
  <c r="H4" i="3"/>
  <c r="H5" i="3"/>
  <c r="H7" i="3"/>
  <c r="H8" i="3"/>
  <c r="H9" i="3"/>
  <c r="H10" i="3"/>
  <c r="H12" i="3"/>
  <c r="H13" i="3"/>
  <c r="H14" i="3"/>
  <c r="H16" i="3"/>
  <c r="H17" i="3"/>
  <c r="H20" i="3"/>
  <c r="I21" i="3" a="1"/>
  <c r="I20" i="3" a="1"/>
  <c r="I19" i="3" a="1"/>
  <c r="I18" i="3" a="1"/>
  <c r="I17" i="3" a="1"/>
  <c r="I16" i="3" a="1"/>
  <c r="I15" i="3" a="1"/>
  <c r="I14" i="3" a="1"/>
  <c r="I13" i="3" a="1"/>
  <c r="I12" i="3" a="1"/>
  <c r="I11" i="3" a="1"/>
  <c r="I10" i="3" a="1"/>
  <c r="I9" i="3" a="1"/>
  <c r="I8" i="3" a="1"/>
  <c r="I7" i="3" a="1"/>
  <c r="I6" i="3" a="1"/>
  <c r="I5" i="3" a="1"/>
  <c r="I4" i="3" a="1"/>
  <c r="I3" i="3" a="1"/>
  <c r="I2" i="3" a="1"/>
  <c r="A32" i="1" a="1"/>
  <c r="I28" i="1"/>
  <c r="F28" i="1"/>
  <c r="A28" i="1"/>
  <c r="B28" i="1"/>
  <c r="G10" i="1"/>
  <c r="H10" i="1" s="1"/>
  <c r="G4" i="1"/>
  <c r="H4" i="1" s="1"/>
  <c r="G3" i="1"/>
  <c r="H3" i="1" s="1"/>
  <c r="G2" i="1"/>
  <c r="H2" i="1" s="1"/>
  <c r="I21" i="1"/>
  <c r="G21" i="1"/>
  <c r="H21" i="1" s="1"/>
  <c r="I20" i="1"/>
  <c r="G20" i="1"/>
  <c r="H20" i="1" s="1"/>
  <c r="I19" i="1"/>
  <c r="G19" i="1"/>
  <c r="H19" i="1" s="1"/>
  <c r="I18" i="1"/>
  <c r="G18" i="1"/>
  <c r="H18" i="1" s="1"/>
  <c r="I17" i="1"/>
  <c r="G17" i="1"/>
  <c r="H17" i="1" s="1"/>
  <c r="I16" i="1"/>
  <c r="G16" i="1"/>
  <c r="H16" i="1" s="1"/>
  <c r="I15" i="1"/>
  <c r="G15" i="1"/>
  <c r="H15" i="1" s="1"/>
  <c r="I14" i="1"/>
  <c r="G14" i="1"/>
  <c r="H14" i="1" s="1"/>
  <c r="I13" i="1"/>
  <c r="G13" i="1"/>
  <c r="H13" i="1" s="1"/>
  <c r="I12" i="1"/>
  <c r="G12" i="1"/>
  <c r="H12" i="1" s="1"/>
  <c r="I11" i="1"/>
  <c r="H11" i="1"/>
  <c r="G11" i="1"/>
  <c r="I10" i="1"/>
  <c r="I9" i="1"/>
  <c r="G9" i="1"/>
  <c r="H9" i="1" s="1"/>
  <c r="I8" i="1"/>
  <c r="G8" i="1"/>
  <c r="H8" i="1" s="1"/>
  <c r="I7" i="1"/>
  <c r="G7" i="1"/>
  <c r="H7" i="1" s="1"/>
  <c r="I6" i="1"/>
  <c r="G6" i="1"/>
  <c r="H6" i="1" s="1"/>
  <c r="I5" i="1"/>
  <c r="G5" i="1"/>
  <c r="H5" i="1" s="1"/>
  <c r="I4" i="1"/>
  <c r="I3" i="1"/>
  <c r="I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<sst xmlns="http://schemas.openxmlformats.org/spreadsheetml/2006/main" count="245" uniqueCount="158">
  <si>
    <t>Student ID</t>
  </si>
  <si>
    <t>Name</t>
  </si>
  <si>
    <t>Math</t>
  </si>
  <si>
    <t>Science</t>
  </si>
  <si>
    <t>English</t>
  </si>
  <si>
    <t>Enrollment Date</t>
  </si>
  <si>
    <t>Result</t>
  </si>
  <si>
    <t>Grade</t>
  </si>
  <si>
    <t>Above 80 (AND)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</si>
  <si>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</si>
  <si>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</si>
  <si>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</si>
  <si>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</si>
  <si>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</si>
  <si>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</si>
  <si>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</si>
  <si>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</si>
  <si>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</si>
  <si>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</si>
  <si>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</si>
  <si>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</si>
  <si>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</si>
  <si>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</si>
  <si>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</si>
  <si>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</si>
  <si>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</si>
  <si>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</si>
  <si>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</si>
  <si>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</si>
  <si>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Aarav Shah</t>
  </si>
  <si>
    <t>Akshara Patel</t>
  </si>
  <si>
    <t>Bansari Patel</t>
  </si>
  <si>
    <t>Devansh Vithlani</t>
  </si>
  <si>
    <t>Ditee Shah</t>
  </si>
  <si>
    <t>Het Patel</t>
  </si>
  <si>
    <t>Jainil Patel</t>
  </si>
  <si>
    <t>Kushi Rathod</t>
  </si>
  <si>
    <t>Mahir Roy</t>
  </si>
  <si>
    <t>Pal Sorathiya</t>
  </si>
  <si>
    <t>Krish Trevedi</t>
  </si>
  <si>
    <t>Riya Shah</t>
  </si>
  <si>
    <t>Dhruv Mehta</t>
  </si>
  <si>
    <t>Priya Joshi</t>
  </si>
  <si>
    <t>Harsh Patel</t>
  </si>
  <si>
    <t>Neha Sharma</t>
  </si>
  <si>
    <t>Krish Malhotra</t>
  </si>
  <si>
    <t>Kavya Iyer</t>
  </si>
  <si>
    <t>Ananya Desai</t>
  </si>
  <si>
    <t>Aarav Patel</t>
  </si>
  <si>
    <t>COUNTIFS   (&gt;50 in maths)</t>
  </si>
  <si>
    <t>AVERAGEIFS       (&gt;60 in eng)</t>
  </si>
  <si>
    <t>VLOOKUP</t>
  </si>
  <si>
    <t>Stud ID</t>
  </si>
  <si>
    <t>INDIRECT</t>
  </si>
  <si>
    <t>E2:E21</t>
  </si>
  <si>
    <t>FILTER</t>
  </si>
  <si>
    <t>Sales ID</t>
  </si>
  <si>
    <t>Product</t>
  </si>
  <si>
    <t>Region</t>
  </si>
  <si>
    <t>Salesperson</t>
  </si>
  <si>
    <t>Amount</t>
  </si>
  <si>
    <t>Date</t>
  </si>
  <si>
    <t>Discount</t>
  </si>
  <si>
    <t>Discount Eligibility</t>
  </si>
  <si>
    <t>Performance</t>
  </si>
  <si>
    <t>Year Diff</t>
  </si>
  <si>
    <t>Keyboard</t>
  </si>
  <si>
    <t>South</t>
  </si>
  <si>
    <t>Printer</t>
  </si>
  <si>
    <t>West</t>
  </si>
  <si>
    <t>Mouse</t>
  </si>
  <si>
    <t>East</t>
  </si>
  <si>
    <t>North</t>
  </si>
  <si>
    <t>Monitor</t>
  </si>
  <si>
    <t>Laptop</t>
  </si>
  <si>
    <t>Rahul Shah</t>
  </si>
  <si>
    <t>Priya Patel</t>
  </si>
  <si>
    <t>Amit Mehta</t>
  </si>
  <si>
    <t>Neha Joshi</t>
  </si>
  <si>
    <t>Karan Desai</t>
  </si>
  <si>
    <t>Riya Trivedi</t>
  </si>
  <si>
    <t>Anjali Shah</t>
  </si>
  <si>
    <t>Dev Mehta</t>
  </si>
  <si>
    <t>Krisha Patel</t>
  </si>
  <si>
    <t>Rohan Joshi</t>
  </si>
  <si>
    <t>Mansi Desai</t>
  </si>
  <si>
    <t>Yash Shah</t>
  </si>
  <si>
    <t>Isha Mehta</t>
  </si>
  <si>
    <t>Dhruv Patel</t>
  </si>
  <si>
    <t>Simran Joshi</t>
  </si>
  <si>
    <t>Parth Desai</t>
  </si>
  <si>
    <t>Hetvi Shah</t>
  </si>
  <si>
    <t>Meet Patel</t>
  </si>
  <si>
    <t>Jinal Mehta</t>
  </si>
  <si>
    <t>SUMIFS</t>
  </si>
  <si>
    <t>Prices</t>
  </si>
  <si>
    <t>INDEX + MATCH</t>
  </si>
  <si>
    <t>XLOOKUP</t>
  </si>
  <si>
    <t>.</t>
  </si>
  <si>
    <t>XMATCH</t>
  </si>
  <si>
    <t>OFFSET</t>
  </si>
  <si>
    <t>Employee ID</t>
  </si>
  <si>
    <t>Department</t>
  </si>
  <si>
    <t>Salary</t>
  </si>
  <si>
    <t>Joining Date</t>
  </si>
  <si>
    <t>Day Diff</t>
  </si>
  <si>
    <t>Finance</t>
  </si>
  <si>
    <t>HR</t>
  </si>
  <si>
    <t>IT</t>
  </si>
  <si>
    <t>Marketing</t>
  </si>
  <si>
    <t>E101</t>
  </si>
  <si>
    <t>E102</t>
  </si>
  <si>
    <t>Kavya Patel</t>
  </si>
  <si>
    <t>E103</t>
  </si>
  <si>
    <t>E104</t>
  </si>
  <si>
    <t>Ananya Shah</t>
  </si>
  <si>
    <t>E105</t>
  </si>
  <si>
    <t>Vivaan Desai</t>
  </si>
  <si>
    <t>E106</t>
  </si>
  <si>
    <t>E107</t>
  </si>
  <si>
    <t>Arjun Patel</t>
  </si>
  <si>
    <t>E108</t>
  </si>
  <si>
    <t>Meera Trivedi</t>
  </si>
  <si>
    <t>E109</t>
  </si>
  <si>
    <t>E110</t>
  </si>
  <si>
    <t>Isha Shah</t>
  </si>
  <si>
    <t>E111</t>
  </si>
  <si>
    <t>Dev Patel</t>
  </si>
  <si>
    <t>E112</t>
  </si>
  <si>
    <t>Riya Desai</t>
  </si>
  <si>
    <t>E113</t>
  </si>
  <si>
    <t>Parth Joshi</t>
  </si>
  <si>
    <t>E114</t>
  </si>
  <si>
    <t>E115</t>
  </si>
  <si>
    <t>Krish Shah</t>
  </si>
  <si>
    <t>E116</t>
  </si>
  <si>
    <t>Hetvi Patel</t>
  </si>
  <si>
    <t>E117</t>
  </si>
  <si>
    <t>E118</t>
  </si>
  <si>
    <t>E119</t>
  </si>
  <si>
    <t>Meet Joshi</t>
  </si>
  <si>
    <t>E120</t>
  </si>
  <si>
    <t>Arav Sharma</t>
  </si>
  <si>
    <t>Rohan Mehata</t>
  </si>
  <si>
    <t>Divy Joshi</t>
  </si>
  <si>
    <t>Yash Mehata</t>
  </si>
  <si>
    <t>Nisha Mehata</t>
  </si>
  <si>
    <t>Dhruv Trevedi</t>
  </si>
  <si>
    <t>Jonal Shah</t>
  </si>
  <si>
    <t>Emp ID</t>
  </si>
  <si>
    <t>Dep</t>
  </si>
  <si>
    <t>UPPER CASE</t>
  </si>
  <si>
    <t>LOWER CASE</t>
  </si>
  <si>
    <t>ROUND</t>
  </si>
  <si>
    <t>CEILING</t>
  </si>
  <si>
    <t>FLOOR</t>
  </si>
  <si>
    <t>LEFT</t>
  </si>
  <si>
    <t>FIND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</si>
</sst>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[$₹]#,##0.00"/>
    <numFmt numFmtId="174" formatCode="&quot;₹&quot;\ #,##0.0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Times"/>
      <family val="1"/>
    </font>
    <font>
      <b/>
      <sz val="12"/>
      <color theme="1"/>
      <name val="Times"/>
      <family val="1"/>
    </font>
    <font>
      <sz val="11"/>
      <color theme="1"/>
      <name val="Times"/>
      <family val="1"/>
    </font>
    <font>
      <sz val="11"/>
      <color rgb="FF000000"/>
      <name val="Times"/>
      <family val="1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CFE2F3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7" fillId="0" borderId="3" xfId="0" applyFont="1" applyBorder="1"/>
    <xf numFmtId="0" fontId="8" fillId="0" borderId="1" xfId="0" applyFont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7" fillId="0" borderId="5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6" xfId="0" applyFont="1" applyBorder="1"/>
    <xf numFmtId="164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174" fontId="2" fillId="2" borderId="1" xfId="0" applyNumberFormat="1" applyFont="1" applyFill="1" applyBorder="1" applyAlignment="1">
      <alignment horizontal="center" vertical="center"/>
    </xf>
    <xf numFmtId="174" fontId="4" fillId="0" borderId="1" xfId="0" applyNumberFormat="1" applyFont="1" applyBorder="1" applyAlignment="1">
      <alignment horizontal="center" vertical="center"/>
    </xf>
    <xf numFmtId="164" fontId="4" fillId="0" borderId="0" xfId="0" applyNumberFormat="1" applyFont="1"/>
    <xf numFmtId="9" fontId="4" fillId="0" borderId="1" xfId="0" applyNumberFormat="1" applyFont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vertical="center"/>
    </xf>
    <xf numFmtId="0" fontId="7" fillId="5" borderId="5" xfId="0" applyFont="1" applyFill="1" applyBorder="1" applyAlignment="1"/>
    <xf numFmtId="165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zoomScale="72" workbookViewId="0"/>
  </sheetViews>
  <sheetFormatPr defaultRowHeight="14.4" x14ac:dyDescent="0.3"/>
  <cols>
    <col min="1" max="1" width="10.88671875" bestFit="1" customWidth="1"/>
    <col min="2" max="2" width="14.77734375" bestFit="1" customWidth="1"/>
    <col min="3" max="3" width="6" bestFit="1" customWidth="1"/>
    <col min="4" max="4" width="7.77734375" bestFit="1" customWidth="1"/>
    <col min="5" max="5" width="7.5546875" bestFit="1" customWidth="1"/>
    <col min="6" max="6" width="21.88671875" bestFit="1" customWidth="1"/>
    <col min="7" max="7" width="6.77734375" bestFit="1" customWidth="1"/>
    <col min="8" max="8" width="6.6640625" bestFit="1" customWidth="1"/>
    <col min="9" max="9" width="15.88671875" bestFit="1" customWidth="1"/>
  </cols>
  <sheetData>
    <row r="1" spans="1:10" ht="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/>
    </row>
    <row r="2" spans="1:10" x14ac:dyDescent="0.3">
      <c r="A2" s="4" t="s">
        <v>9</v>
      </c>
      <c r="B2" s="4" t="s">
        <v>29</v>
      </c>
      <c r="C2" s="4">
        <v>55</v>
      </c>
      <c r="D2" s="4">
        <v>48</v>
      </c>
      <c r="E2" s="4">
        <v>76</v>
      </c>
      <c r="F2" s="5">
        <v>45292</v>
      </c>
      <c r="G2" s="6">
        <f>AVERAGE(C2:E2)</f>
        <v>59.666666666666664</v>
      </c>
      <c r="H2" s="7" t="str">
        <f t="shared" ref="H2:H21" si="0">IF(G2&gt;=90,"A",IF(G2&gt;=70,"B","C"))</f>
        <v>C</v>
      </c>
      <c r="I2" s="7" t="str">
        <f t="shared" ref="I2:I21" si="1">IF(AND(C2&gt;=50, D2&gt;=50), "YES", "NO")</f>
        <v>NO</v>
      </c>
      <c r="J2" s="3"/>
    </row>
    <row r="3" spans="1:10" x14ac:dyDescent="0.3">
      <c r="A3" s="4" t="s">
        <v>10</v>
      </c>
      <c r="B3" s="4" t="s">
        <v>30</v>
      </c>
      <c r="C3" s="4">
        <v>78</v>
      </c>
      <c r="D3" s="4">
        <v>76</v>
      </c>
      <c r="E3" s="4">
        <v>70</v>
      </c>
      <c r="F3" s="5">
        <v>45449</v>
      </c>
      <c r="G3" s="6">
        <f>AVERAGE(C3:E3)</f>
        <v>74.666666666666671</v>
      </c>
      <c r="H3" s="7" t="str">
        <f t="shared" si="0"/>
        <v>B</v>
      </c>
      <c r="I3" s="7" t="str">
        <f t="shared" si="1"/>
        <v>YES</v>
      </c>
      <c r="J3" s="3"/>
    </row>
    <row r="4" spans="1:10" x14ac:dyDescent="0.3">
      <c r="A4" s="4" t="s">
        <v>11</v>
      </c>
      <c r="B4" s="4" t="s">
        <v>31</v>
      </c>
      <c r="C4" s="4">
        <v>97</v>
      </c>
      <c r="D4" s="4">
        <v>60</v>
      </c>
      <c r="E4" s="4">
        <v>51</v>
      </c>
      <c r="F4" s="5">
        <v>45653</v>
      </c>
      <c r="G4" s="6">
        <f>AVERAGE(C4:E4)</f>
        <v>69.333333333333329</v>
      </c>
      <c r="H4" s="7" t="str">
        <f t="shared" si="0"/>
        <v>C</v>
      </c>
      <c r="I4" s="7" t="str">
        <f t="shared" si="1"/>
        <v>YES</v>
      </c>
      <c r="J4" s="3"/>
    </row>
    <row r="5" spans="1:10" x14ac:dyDescent="0.3">
      <c r="A5" s="4" t="s">
        <v>12</v>
      </c>
      <c r="B5" s="4" t="s">
        <v>32</v>
      </c>
      <c r="C5" s="4">
        <v>74</v>
      </c>
      <c r="D5" s="4">
        <v>55</v>
      </c>
      <c r="E5" s="4">
        <v>46</v>
      </c>
      <c r="F5" s="5">
        <v>45833</v>
      </c>
      <c r="G5" s="6">
        <f t="shared" ref="G5:G21" si="2">AVERAGE(C5:E5)</f>
        <v>58.333333333333336</v>
      </c>
      <c r="H5" s="7" t="str">
        <f t="shared" si="0"/>
        <v>C</v>
      </c>
      <c r="I5" s="7" t="str">
        <f t="shared" si="1"/>
        <v>YES</v>
      </c>
      <c r="J5" s="3"/>
    </row>
    <row r="6" spans="1:10" x14ac:dyDescent="0.3">
      <c r="A6" s="4" t="s">
        <v>13</v>
      </c>
      <c r="B6" s="4" t="s">
        <v>33</v>
      </c>
      <c r="C6" s="4">
        <v>68</v>
      </c>
      <c r="D6" s="4">
        <v>74</v>
      </c>
      <c r="E6" s="4">
        <v>84</v>
      </c>
      <c r="F6" s="5">
        <v>46013</v>
      </c>
      <c r="G6" s="6">
        <f t="shared" si="2"/>
        <v>75.333333333333329</v>
      </c>
      <c r="H6" s="7" t="str">
        <f t="shared" si="0"/>
        <v>B</v>
      </c>
      <c r="I6" s="7" t="str">
        <f t="shared" si="1"/>
        <v>YES</v>
      </c>
      <c r="J6" s="3"/>
    </row>
    <row r="7" spans="1:10" x14ac:dyDescent="0.3">
      <c r="A7" s="4" t="s">
        <v>14</v>
      </c>
      <c r="B7" s="4" t="s">
        <v>34</v>
      </c>
      <c r="C7" s="4">
        <v>80</v>
      </c>
      <c r="D7" s="4">
        <v>70</v>
      </c>
      <c r="E7" s="4">
        <v>65</v>
      </c>
      <c r="F7" s="5">
        <v>45827</v>
      </c>
      <c r="G7" s="6">
        <f t="shared" si="2"/>
        <v>71.666666666666671</v>
      </c>
      <c r="H7" s="7" t="str">
        <f t="shared" si="0"/>
        <v>B</v>
      </c>
      <c r="I7" s="7" t="str">
        <f t="shared" si="1"/>
        <v>YES</v>
      </c>
      <c r="J7" s="3"/>
    </row>
    <row r="8" spans="1:10" x14ac:dyDescent="0.3">
      <c r="A8" s="4" t="s">
        <v>15</v>
      </c>
      <c r="B8" s="4" t="s">
        <v>35</v>
      </c>
      <c r="C8" s="4">
        <v>75</v>
      </c>
      <c r="D8" s="4">
        <v>47</v>
      </c>
      <c r="E8" s="4">
        <v>78</v>
      </c>
      <c r="F8" s="5">
        <v>46007</v>
      </c>
      <c r="G8" s="6">
        <f t="shared" si="2"/>
        <v>66.666666666666671</v>
      </c>
      <c r="H8" s="7" t="str">
        <f t="shared" si="0"/>
        <v>C</v>
      </c>
      <c r="I8" s="7" t="str">
        <f t="shared" si="1"/>
        <v>NO</v>
      </c>
      <c r="J8" s="3"/>
    </row>
    <row r="9" spans="1:10" x14ac:dyDescent="0.3">
      <c r="A9" s="4" t="s">
        <v>16</v>
      </c>
      <c r="B9" s="4" t="s">
        <v>36</v>
      </c>
      <c r="C9" s="4">
        <v>94</v>
      </c>
      <c r="D9" s="4">
        <v>67</v>
      </c>
      <c r="E9" s="4">
        <v>64</v>
      </c>
      <c r="F9" s="5">
        <v>45457</v>
      </c>
      <c r="G9" s="6">
        <f t="shared" si="2"/>
        <v>75</v>
      </c>
      <c r="H9" s="7" t="str">
        <f t="shared" si="0"/>
        <v>B</v>
      </c>
      <c r="I9" s="7" t="str">
        <f t="shared" si="1"/>
        <v>YES</v>
      </c>
      <c r="J9" s="3"/>
    </row>
    <row r="10" spans="1:10" x14ac:dyDescent="0.3">
      <c r="A10" s="4" t="s">
        <v>17</v>
      </c>
      <c r="B10" s="4" t="s">
        <v>37</v>
      </c>
      <c r="C10" s="4">
        <v>41</v>
      </c>
      <c r="D10" s="4">
        <v>75</v>
      </c>
      <c r="E10" s="4">
        <v>56</v>
      </c>
      <c r="F10" s="5">
        <v>45637</v>
      </c>
      <c r="G10" s="6">
        <f>AVERAGE(C10:E10)</f>
        <v>57.333333333333336</v>
      </c>
      <c r="H10" s="7" t="str">
        <f t="shared" si="0"/>
        <v>C</v>
      </c>
      <c r="I10" s="7" t="str">
        <f t="shared" si="1"/>
        <v>NO</v>
      </c>
      <c r="J10" s="3"/>
    </row>
    <row r="11" spans="1:10" x14ac:dyDescent="0.3">
      <c r="A11" s="4" t="s">
        <v>18</v>
      </c>
      <c r="B11" s="4" t="s">
        <v>38</v>
      </c>
      <c r="C11" s="4">
        <v>98</v>
      </c>
      <c r="D11" s="4">
        <v>54</v>
      </c>
      <c r="E11" s="4">
        <v>58</v>
      </c>
      <c r="F11" s="5">
        <v>45817</v>
      </c>
      <c r="G11" s="6">
        <f t="shared" si="2"/>
        <v>70</v>
      </c>
      <c r="H11" s="7" t="str">
        <f t="shared" si="0"/>
        <v>B</v>
      </c>
      <c r="I11" s="7" t="str">
        <f t="shared" si="1"/>
        <v>YES</v>
      </c>
      <c r="J11" s="3"/>
    </row>
    <row r="12" spans="1:10" x14ac:dyDescent="0.3">
      <c r="A12" s="4" t="s">
        <v>19</v>
      </c>
      <c r="B12" s="4" t="s">
        <v>39</v>
      </c>
      <c r="C12" s="4">
        <v>73</v>
      </c>
      <c r="D12" s="4">
        <v>79</v>
      </c>
      <c r="E12" s="4">
        <v>53</v>
      </c>
      <c r="F12" s="5">
        <v>45266</v>
      </c>
      <c r="G12" s="6">
        <f t="shared" si="2"/>
        <v>68.333333333333329</v>
      </c>
      <c r="H12" s="7" t="str">
        <f t="shared" si="0"/>
        <v>C</v>
      </c>
      <c r="I12" s="7" t="str">
        <f t="shared" si="1"/>
        <v>YES</v>
      </c>
      <c r="J12" s="3"/>
    </row>
    <row r="13" spans="1:10" x14ac:dyDescent="0.3">
      <c r="A13" s="4" t="s">
        <v>20</v>
      </c>
      <c r="B13" s="4" t="s">
        <v>40</v>
      </c>
      <c r="C13" s="4">
        <v>85</v>
      </c>
      <c r="D13" s="4">
        <v>89</v>
      </c>
      <c r="E13" s="4">
        <v>79</v>
      </c>
      <c r="F13" s="5">
        <v>45081</v>
      </c>
      <c r="G13" s="6">
        <f t="shared" si="2"/>
        <v>84.333333333333329</v>
      </c>
      <c r="H13" s="7" t="str">
        <f t="shared" si="0"/>
        <v>B</v>
      </c>
      <c r="I13" s="7" t="str">
        <f t="shared" si="1"/>
        <v>YES</v>
      </c>
      <c r="J13" s="3"/>
    </row>
    <row r="14" spans="1:10" x14ac:dyDescent="0.3">
      <c r="A14" s="4" t="s">
        <v>21</v>
      </c>
      <c r="B14" s="4" t="s">
        <v>41</v>
      </c>
      <c r="C14" s="4">
        <v>98</v>
      </c>
      <c r="D14" s="4">
        <v>90</v>
      </c>
      <c r="E14" s="4">
        <v>97</v>
      </c>
      <c r="F14" s="5">
        <v>45261</v>
      </c>
      <c r="G14" s="6">
        <f t="shared" si="2"/>
        <v>95</v>
      </c>
      <c r="H14" s="7" t="str">
        <f t="shared" si="0"/>
        <v>A</v>
      </c>
      <c r="I14" s="7" t="str">
        <f t="shared" si="1"/>
        <v>YES</v>
      </c>
      <c r="J14" s="3"/>
    </row>
    <row r="15" spans="1:10" x14ac:dyDescent="0.3">
      <c r="A15" s="4" t="s">
        <v>22</v>
      </c>
      <c r="B15" s="4" t="s">
        <v>42</v>
      </c>
      <c r="C15" s="4">
        <v>93</v>
      </c>
      <c r="D15" s="4">
        <v>40</v>
      </c>
      <c r="E15" s="4">
        <v>44</v>
      </c>
      <c r="F15" s="5">
        <v>45441</v>
      </c>
      <c r="G15" s="6">
        <f t="shared" si="2"/>
        <v>59</v>
      </c>
      <c r="H15" s="7" t="str">
        <f t="shared" si="0"/>
        <v>C</v>
      </c>
      <c r="I15" s="7" t="str">
        <f t="shared" si="1"/>
        <v>NO</v>
      </c>
      <c r="J15" s="3"/>
    </row>
    <row r="16" spans="1:10" x14ac:dyDescent="0.3">
      <c r="A16" s="4" t="s">
        <v>23</v>
      </c>
      <c r="B16" s="4" t="s">
        <v>43</v>
      </c>
      <c r="C16" s="4">
        <v>70</v>
      </c>
      <c r="D16" s="4">
        <v>51</v>
      </c>
      <c r="E16" s="4">
        <v>75</v>
      </c>
      <c r="F16" s="5">
        <v>45621</v>
      </c>
      <c r="G16" s="6">
        <f t="shared" si="2"/>
        <v>65.333333333333329</v>
      </c>
      <c r="H16" s="7" t="str">
        <f t="shared" si="0"/>
        <v>C</v>
      </c>
      <c r="I16" s="7" t="str">
        <f t="shared" si="1"/>
        <v>YES</v>
      </c>
      <c r="J16" s="3"/>
    </row>
    <row r="17" spans="1:10" x14ac:dyDescent="0.3">
      <c r="A17" s="4" t="s">
        <v>24</v>
      </c>
      <c r="B17" s="4" t="s">
        <v>44</v>
      </c>
      <c r="C17" s="4">
        <v>98</v>
      </c>
      <c r="D17" s="4">
        <v>77</v>
      </c>
      <c r="E17" s="4">
        <v>60</v>
      </c>
      <c r="F17" s="5">
        <v>45801</v>
      </c>
      <c r="G17" s="6">
        <f t="shared" si="2"/>
        <v>78.333333333333329</v>
      </c>
      <c r="H17" s="7" t="str">
        <f t="shared" si="0"/>
        <v>B</v>
      </c>
      <c r="I17" s="7" t="str">
        <f t="shared" si="1"/>
        <v>YES</v>
      </c>
      <c r="J17" s="3"/>
    </row>
    <row r="18" spans="1:10" x14ac:dyDescent="0.3">
      <c r="A18" s="4" t="s">
        <v>25</v>
      </c>
      <c r="B18" s="4" t="s">
        <v>45</v>
      </c>
      <c r="C18" s="4">
        <v>66</v>
      </c>
      <c r="D18" s="4">
        <v>59</v>
      </c>
      <c r="E18" s="4">
        <v>40</v>
      </c>
      <c r="F18" s="5">
        <v>45981</v>
      </c>
      <c r="G18" s="6">
        <f t="shared" si="2"/>
        <v>55</v>
      </c>
      <c r="H18" s="7" t="str">
        <f t="shared" si="0"/>
        <v>C</v>
      </c>
      <c r="I18" s="7" t="str">
        <f t="shared" si="1"/>
        <v>YES</v>
      </c>
      <c r="J18" s="3"/>
    </row>
    <row r="19" spans="1:10" x14ac:dyDescent="0.3">
      <c r="A19" s="4" t="s">
        <v>26</v>
      </c>
      <c r="B19" s="4" t="s">
        <v>46</v>
      </c>
      <c r="C19" s="4">
        <v>82</v>
      </c>
      <c r="D19" s="4">
        <v>48</v>
      </c>
      <c r="E19" s="4">
        <v>79</v>
      </c>
      <c r="F19" s="5">
        <v>46161</v>
      </c>
      <c r="G19" s="6">
        <f t="shared" si="2"/>
        <v>69.666666666666671</v>
      </c>
      <c r="H19" s="7" t="str">
        <f t="shared" si="0"/>
        <v>C</v>
      </c>
      <c r="I19" s="7" t="str">
        <f t="shared" si="1"/>
        <v>NO</v>
      </c>
      <c r="J19" s="3"/>
    </row>
    <row r="20" spans="1:10" x14ac:dyDescent="0.3">
      <c r="A20" s="4" t="s">
        <v>27</v>
      </c>
      <c r="B20" s="4" t="s">
        <v>47</v>
      </c>
      <c r="C20" s="4">
        <v>90</v>
      </c>
      <c r="D20" s="4">
        <v>78</v>
      </c>
      <c r="E20" s="4">
        <v>60</v>
      </c>
      <c r="F20" s="5">
        <v>46341</v>
      </c>
      <c r="G20" s="6">
        <f t="shared" si="2"/>
        <v>76</v>
      </c>
      <c r="H20" s="7" t="str">
        <f t="shared" si="0"/>
        <v>B</v>
      </c>
      <c r="I20" s="7" t="str">
        <f t="shared" si="1"/>
        <v>YES</v>
      </c>
      <c r="J20" s="3"/>
    </row>
    <row r="21" spans="1:10" x14ac:dyDescent="0.3">
      <c r="A21" s="4" t="s">
        <v>28</v>
      </c>
      <c r="B21" s="4" t="s">
        <v>48</v>
      </c>
      <c r="C21" s="4">
        <v>83</v>
      </c>
      <c r="D21" s="4">
        <v>92</v>
      </c>
      <c r="E21" s="4">
        <v>55</v>
      </c>
      <c r="F21" s="5">
        <v>46156</v>
      </c>
      <c r="G21" s="6">
        <f t="shared" si="2"/>
        <v>76.666666666666671</v>
      </c>
      <c r="H21" s="7" t="str">
        <f t="shared" si="0"/>
        <v>B</v>
      </c>
      <c r="I21" s="7" t="str">
        <f t="shared" si="1"/>
        <v>YES</v>
      </c>
      <c r="J21" s="3"/>
    </row>
    <row r="22" spans="1:10" x14ac:dyDescent="0.3">
      <c r="A22" s="3"/>
      <c r="B22" s="3"/>
      <c r="C22" s="3"/>
      <c r="D22" s="3"/>
      <c r="E22" s="3"/>
      <c r="F22" s="3"/>
      <c r="G22" s="3"/>
      <c r="H22" s="3"/>
      <c r="I22" s="3"/>
      <c r="J22" s="3"/>
    </row>
    <row r="26" spans="1:10" ht="15.6" x14ac:dyDescent="0.3">
      <c r="A26" s="8" t="s">
        <v>49</v>
      </c>
      <c r="B26" s="8" t="s">
        <v>50</v>
      </c>
      <c r="E26" s="11" t="s">
        <v>51</v>
      </c>
      <c r="F26" s="12"/>
      <c r="I26" s="14" t="s">
        <v>53</v>
      </c>
    </row>
    <row r="27" spans="1:10" x14ac:dyDescent="0.3">
      <c r="A27" s="9"/>
      <c r="B27" s="9"/>
      <c r="E27" s="13" t="s">
        <v>52</v>
      </c>
      <c r="F27" s="13" t="s">
        <v>1</v>
      </c>
      <c r="I27" s="10" t="s">
        <v>54</v>
      </c>
    </row>
    <row r="28" spans="1:10" x14ac:dyDescent="0.3">
      <c r="A28" s="10">
        <f>COUNTIFS(C4:C23,"&gt;50")</f>
        <v>17</v>
      </c>
      <c r="B28" s="10">
        <f>AVERAGEIFS(E4:E23, E4:E23, "&gt;60")</f>
        <v>77.625</v>
      </c>
      <c r="E28" s="10" t="s">
        <v>13</v>
      </c>
      <c r="F28" s="10" t="str">
        <f>IFERROR(VLOOKUP(E28,A5:B21,2,FALSE),"NOT FOUND")</f>
        <v>Ditee Shah</v>
      </c>
      <c r="I28" s="10">
        <f ca="1">SUM(INDIRECT(I27))</f>
        <v>1290</v>
      </c>
    </row>
    <row r="31" spans="1:10" ht="15.6" x14ac:dyDescent="0.3">
      <c r="A31" s="11" t="s">
        <v>55</v>
      </c>
      <c r="B31" s="18"/>
      <c r="C31" s="18"/>
      <c r="D31" s="18"/>
      <c r="E31" s="18"/>
      <c r="F31" s="18"/>
      <c r="G31" s="18"/>
      <c r="H31" s="19"/>
    </row>
    <row r="32" spans="1:10" x14ac:dyDescent="0.3">
      <c r="A32" s="10" t="str" cm="1">
        <f t="array" ref="A32:H33">_xlfn._xlws.FILTER(A2:H21,G2:G21&gt;80,"No Result")</f>
        <v>S112</v>
      </c>
      <c r="B32" s="10" t="str">
        <v>Riya Shah</v>
      </c>
      <c r="C32" s="10">
        <v>85</v>
      </c>
      <c r="D32" s="10">
        <v>89</v>
      </c>
      <c r="E32" s="10">
        <v>79</v>
      </c>
      <c r="F32" s="16">
        <v>45081</v>
      </c>
      <c r="G32" s="17">
        <v>84.333333333333329</v>
      </c>
      <c r="H32" s="10" t="str">
        <v>B</v>
      </c>
    </row>
    <row r="33" spans="1:8" x14ac:dyDescent="0.3">
      <c r="A33" s="10" t="str">
        <v>S113</v>
      </c>
      <c r="B33" s="10" t="str">
        <v>Dhruv Mehta</v>
      </c>
      <c r="C33" s="10">
        <v>98</v>
      </c>
      <c r="D33" s="10">
        <v>90</v>
      </c>
      <c r="E33" s="10">
        <v>97</v>
      </c>
      <c r="F33" s="16">
        <v>45261</v>
      </c>
      <c r="G33" s="17">
        <v>95</v>
      </c>
      <c r="H33" s="10" t="str">
        <v>A</v>
      </c>
    </row>
  </sheetData>
  <mergeCells count="4">
    <mergeCell ref="A26:A27"/>
    <mergeCell ref="B26:B27"/>
    <mergeCell ref="E26:F26"/>
    <mergeCell ref="A31:H3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A6CDF-4F58-4FFA-BB7A-4AF098D4E9D3}">
  <dimension ref="A1:J34"/>
  <sheetViews>
    <sheetView topLeftCell="A7" workbookViewId="0"/>
  </sheetViews>
  <sheetFormatPr defaultRowHeight="14.4" x14ac:dyDescent="0.3"/>
  <cols>
    <col min="1" max="1" width="8.21875" bestFit="1" customWidth="1"/>
    <col min="2" max="2" width="8.6640625" bestFit="1" customWidth="1"/>
    <col min="3" max="3" width="7.33203125" bestFit="1" customWidth="1"/>
    <col min="4" max="4" width="12.109375" bestFit="1" customWidth="1"/>
    <col min="5" max="5" width="10.6640625" bestFit="1" customWidth="1"/>
    <col min="6" max="6" width="18.21875" bestFit="1" customWidth="1"/>
    <col min="7" max="7" width="10" bestFit="1" customWidth="1"/>
    <col min="8" max="8" width="18.44140625" bestFit="1" customWidth="1"/>
    <col min="9" max="9" width="12.88671875" bestFit="1" customWidth="1"/>
    <col min="10" max="10" width="10" bestFit="1" customWidth="1"/>
    <col min="13" max="13" width="18.21875" bestFit="1" customWidth="1"/>
  </cols>
  <sheetData>
    <row r="1" spans="1:10" ht="15" x14ac:dyDescent="0.3">
      <c r="A1" s="1" t="s">
        <v>56</v>
      </c>
      <c r="B1" s="1" t="s">
        <v>57</v>
      </c>
      <c r="C1" s="1" t="s">
        <v>58</v>
      </c>
      <c r="D1" s="1" t="s">
        <v>59</v>
      </c>
      <c r="E1" s="20" t="s">
        <v>60</v>
      </c>
      <c r="F1" s="1" t="s">
        <v>61</v>
      </c>
      <c r="G1" s="20" t="s">
        <v>62</v>
      </c>
      <c r="H1" s="1" t="s">
        <v>63</v>
      </c>
      <c r="I1" s="1" t="s">
        <v>64</v>
      </c>
      <c r="J1" s="1" t="s">
        <v>65</v>
      </c>
    </row>
    <row r="2" spans="1:10" x14ac:dyDescent="0.3">
      <c r="A2" s="7" t="s">
        <v>9</v>
      </c>
      <c r="B2" s="7" t="s">
        <v>74</v>
      </c>
      <c r="C2" s="7" t="s">
        <v>69</v>
      </c>
      <c r="D2" s="7" t="s">
        <v>75</v>
      </c>
      <c r="E2" s="21">
        <v>28450</v>
      </c>
      <c r="F2" s="22">
        <v>45296</v>
      </c>
      <c r="G2" s="23">
        <v>0.1</v>
      </c>
      <c r="H2" s="7" t="str">
        <f>IF(OR(E2&gt;43000,C2="EAST"),"Eligible","Not Eligible")</f>
        <v>Not Eligible</v>
      </c>
      <c r="I2" s="7" t="str" cm="1">
        <f t="array" ref="I2">_xlfn.IFS(E2&gt;=40000,"Excellent",E2&gt;=30000,"Good",E2&gt;=10000,"Avg",TRUE,"Poor")</f>
        <v>Avg</v>
      </c>
      <c r="J2" s="7">
        <f ca="1">DATEDIF(F2,TODAY(),"Y")</f>
        <v>2</v>
      </c>
    </row>
    <row r="3" spans="1:10" x14ac:dyDescent="0.3">
      <c r="A3" s="7" t="s">
        <v>10</v>
      </c>
      <c r="B3" s="7" t="s">
        <v>66</v>
      </c>
      <c r="C3" s="7" t="s">
        <v>72</v>
      </c>
      <c r="D3" s="7" t="s">
        <v>76</v>
      </c>
      <c r="E3" s="21">
        <v>6875</v>
      </c>
      <c r="F3" s="22">
        <v>45310</v>
      </c>
      <c r="G3" s="23">
        <v>0.05</v>
      </c>
      <c r="H3" s="7" t="str">
        <f>IF(OR(E3&gt;43000,C3="EAST"),"Eligible","Not Eligible")</f>
        <v>Not Eligible</v>
      </c>
      <c r="I3" s="7" t="str" cm="1">
        <f t="array" ref="I3">_xlfn.IFS(E3&gt;=40000,"Excellent",E3&gt;=30000,"Good",E3&gt;=10000,"Avg",TRUE,"Poor")</f>
        <v>Poor</v>
      </c>
      <c r="J3" s="7">
        <f ca="1">DATEDIF(F3,TODAY(),"Y")</f>
        <v>2</v>
      </c>
    </row>
    <row r="4" spans="1:10" x14ac:dyDescent="0.3">
      <c r="A4" s="7" t="s">
        <v>11</v>
      </c>
      <c r="B4" s="7" t="s">
        <v>73</v>
      </c>
      <c r="C4" s="7" t="s">
        <v>67</v>
      </c>
      <c r="D4" s="7" t="s">
        <v>77</v>
      </c>
      <c r="E4" s="21">
        <v>36920</v>
      </c>
      <c r="F4" s="22">
        <v>45325</v>
      </c>
      <c r="G4" s="23">
        <v>0.15</v>
      </c>
      <c r="H4" s="7" t="str">
        <f>IF(OR(E4&gt;43000,C4="EAST"),"Eligible","Not Eligible")</f>
        <v>Not Eligible</v>
      </c>
      <c r="I4" s="7" t="str" cm="1">
        <f t="array" ref="I4">_xlfn.IFS(E4&gt;=40000,"Excellent",E4&gt;=30000,"Good",E4&gt;=10000,"Avg",TRUE,"Poor")</f>
        <v>Good</v>
      </c>
      <c r="J4" s="7">
        <f t="shared" ref="J4:J21" ca="1" si="0">DATEDIF(F4,TODAY(),"Y")</f>
        <v>2</v>
      </c>
    </row>
    <row r="5" spans="1:10" x14ac:dyDescent="0.3">
      <c r="A5" s="7" t="s">
        <v>12</v>
      </c>
      <c r="B5" s="7" t="s">
        <v>70</v>
      </c>
      <c r="C5" s="7" t="s">
        <v>71</v>
      </c>
      <c r="D5" s="7" t="s">
        <v>78</v>
      </c>
      <c r="E5" s="21">
        <v>4580</v>
      </c>
      <c r="F5" s="22">
        <v>45340</v>
      </c>
      <c r="G5" s="23">
        <v>0.02</v>
      </c>
      <c r="H5" s="7" t="str">
        <f>IF(OR(E5&gt;43000,C5="EAST"),"Eligible","Not Eligible")</f>
        <v>Eligible</v>
      </c>
      <c r="I5" s="7" t="str" cm="1">
        <f t="array" ref="I5">_xlfn.IFS(E5&gt;=40000,"Excellent",E5&gt;=30000,"Good",E5&gt;=10000,"Avg",TRUE,"Poor")</f>
        <v>Poor</v>
      </c>
      <c r="J5" s="7">
        <f t="shared" ca="1" si="0"/>
        <v>2</v>
      </c>
    </row>
    <row r="6" spans="1:10" x14ac:dyDescent="0.3">
      <c r="A6" s="7" t="s">
        <v>13</v>
      </c>
      <c r="B6" s="7" t="s">
        <v>68</v>
      </c>
      <c r="C6" s="7" t="s">
        <v>69</v>
      </c>
      <c r="D6" s="7" t="s">
        <v>79</v>
      </c>
      <c r="E6" s="21">
        <v>18735</v>
      </c>
      <c r="F6" s="22">
        <v>45355</v>
      </c>
      <c r="G6" s="23">
        <v>0.1</v>
      </c>
      <c r="H6" s="7" t="str">
        <f>IF(OR(E6&gt;43000,C6="EAST"),"Eligible","Not Eligible")</f>
        <v>Not Eligible</v>
      </c>
      <c r="I6" s="7" t="str" cm="1">
        <f t="array" ref="I6">_xlfn.IFS(E6&gt;=40000,"Excellent",E6&gt;=30000,"Good",E6&gt;=10000,"Avg",TRUE,"Poor")</f>
        <v>Avg</v>
      </c>
      <c r="J6" s="7">
        <f t="shared" ca="1" si="0"/>
        <v>2</v>
      </c>
    </row>
    <row r="7" spans="1:10" x14ac:dyDescent="0.3">
      <c r="A7" s="7" t="s">
        <v>14</v>
      </c>
      <c r="B7" s="7" t="s">
        <v>74</v>
      </c>
      <c r="C7" s="7" t="s">
        <v>72</v>
      </c>
      <c r="D7" s="7" t="s">
        <v>80</v>
      </c>
      <c r="E7" s="21">
        <v>42680</v>
      </c>
      <c r="F7" s="22">
        <v>45372</v>
      </c>
      <c r="G7" s="23">
        <v>0.2</v>
      </c>
      <c r="H7" s="7" t="str">
        <f>IF(OR(E7&gt;43000,C7="EAST"),"Eligible","Not Eligible")</f>
        <v>Not Eligible</v>
      </c>
      <c r="I7" s="7" t="str" cm="1">
        <f t="array" ref="I7">_xlfn.IFS(E7&gt;=40000,"Excellent",E7&gt;=30000,"Good",E7&gt;=10000,"Avg",TRUE,"Poor")</f>
        <v>Excellent</v>
      </c>
      <c r="J7" s="7">
        <f t="shared" ca="1" si="0"/>
        <v>2</v>
      </c>
    </row>
    <row r="8" spans="1:10" x14ac:dyDescent="0.3">
      <c r="A8" s="7" t="s">
        <v>15</v>
      </c>
      <c r="B8" s="7" t="s">
        <v>73</v>
      </c>
      <c r="C8" s="7" t="s">
        <v>71</v>
      </c>
      <c r="D8" s="7" t="s">
        <v>43</v>
      </c>
      <c r="E8" s="21">
        <v>31250</v>
      </c>
      <c r="F8" s="22">
        <v>45389</v>
      </c>
      <c r="G8" s="23">
        <v>0.1</v>
      </c>
      <c r="H8" s="7" t="str">
        <f>IF(OR(E8&gt;43000,C8="EAST"),"Eligible","Not Eligible")</f>
        <v>Eligible</v>
      </c>
      <c r="I8" s="7" t="str" cm="1">
        <f t="array" ref="I8">_xlfn.IFS(E8&gt;=40000,"Excellent",E8&gt;=30000,"Good",E8&gt;=10000,"Avg",TRUE,"Poor")</f>
        <v>Good</v>
      </c>
      <c r="J8" s="7">
        <f t="shared" ca="1" si="0"/>
        <v>2</v>
      </c>
    </row>
    <row r="9" spans="1:10" x14ac:dyDescent="0.3">
      <c r="A9" s="7" t="s">
        <v>16</v>
      </c>
      <c r="B9" s="7" t="s">
        <v>66</v>
      </c>
      <c r="C9" s="7" t="s">
        <v>67</v>
      </c>
      <c r="D9" s="7" t="s">
        <v>81</v>
      </c>
      <c r="E9" s="21">
        <v>8940</v>
      </c>
      <c r="F9" s="22">
        <v>45405</v>
      </c>
      <c r="G9" s="23">
        <v>0.05</v>
      </c>
      <c r="H9" s="7" t="str">
        <f>IF(OR(E9&gt;43000,C9="EAST"),"Eligible","Not Eligible")</f>
        <v>Not Eligible</v>
      </c>
      <c r="I9" s="7" t="str" cm="1">
        <f t="array" ref="I9">_xlfn.IFS(E9&gt;=40000,"Excellent",E9&gt;=30000,"Good",E9&gt;=10000,"Avg",TRUE,"Poor")</f>
        <v>Poor</v>
      </c>
      <c r="J9" s="7">
        <f t="shared" ca="1" si="0"/>
        <v>2</v>
      </c>
    </row>
    <row r="10" spans="1:10" x14ac:dyDescent="0.3">
      <c r="A10" s="7" t="s">
        <v>17</v>
      </c>
      <c r="B10" s="7" t="s">
        <v>70</v>
      </c>
      <c r="C10" s="7" t="s">
        <v>69</v>
      </c>
      <c r="D10" s="7" t="s">
        <v>82</v>
      </c>
      <c r="E10" s="21">
        <v>12675</v>
      </c>
      <c r="F10" s="22">
        <v>45421</v>
      </c>
      <c r="G10" s="23">
        <v>0.08</v>
      </c>
      <c r="H10" s="7" t="str">
        <f>IF(OR(E10&gt;43000,C10="EAST"),"Eligible","Not Eligible")</f>
        <v>Not Eligible</v>
      </c>
      <c r="I10" s="7" t="str" cm="1">
        <f t="array" ref="I10">_xlfn.IFS(E10&gt;=40000,"Excellent",E10&gt;=30000,"Good",E10&gt;=10000,"Avg",TRUE,"Poor")</f>
        <v>Avg</v>
      </c>
      <c r="J10" s="7">
        <f t="shared" ca="1" si="0"/>
        <v>2</v>
      </c>
    </row>
    <row r="11" spans="1:10" x14ac:dyDescent="0.3">
      <c r="A11" s="7" t="s">
        <v>18</v>
      </c>
      <c r="B11" s="7" t="s">
        <v>68</v>
      </c>
      <c r="C11" s="7" t="s">
        <v>72</v>
      </c>
      <c r="D11" s="7" t="s">
        <v>83</v>
      </c>
      <c r="E11" s="21">
        <v>24390</v>
      </c>
      <c r="F11" s="22">
        <v>45437</v>
      </c>
      <c r="G11" s="23">
        <v>0.15</v>
      </c>
      <c r="H11" s="7" t="str">
        <f>IF(OR(E11&gt;43000,C11="EAST"),"Eligible","Not Eligible")</f>
        <v>Not Eligible</v>
      </c>
      <c r="I11" s="7" t="str" cm="1">
        <f t="array" ref="I11">_xlfn.IFS(E11&gt;=40000,"Excellent",E11&gt;=30000,"Good",E11&gt;=10000,"Avg",TRUE,"Poor")</f>
        <v>Avg</v>
      </c>
      <c r="J11" s="7">
        <f t="shared" ca="1" si="0"/>
        <v>2</v>
      </c>
    </row>
    <row r="12" spans="1:10" x14ac:dyDescent="0.3">
      <c r="A12" s="7" t="s">
        <v>19</v>
      </c>
      <c r="B12" s="7" t="s">
        <v>74</v>
      </c>
      <c r="C12" s="7" t="s">
        <v>71</v>
      </c>
      <c r="D12" s="7" t="s">
        <v>84</v>
      </c>
      <c r="E12" s="21">
        <v>47850</v>
      </c>
      <c r="F12" s="22">
        <v>45453</v>
      </c>
      <c r="G12" s="23">
        <v>0.2</v>
      </c>
      <c r="H12" s="7" t="str">
        <f>IF(OR(E12&gt;43000,C12="EAST"),"Eligible","Not Eligible")</f>
        <v>Eligible</v>
      </c>
      <c r="I12" s="7" t="str" cm="1">
        <f t="array" ref="I12">_xlfn.IFS(E12&gt;=40000,"Excellent",E12&gt;=30000,"Good",E12&gt;=10000,"Avg",TRUE,"Poor")</f>
        <v>Excellent</v>
      </c>
      <c r="J12" s="7">
        <f t="shared" ca="1" si="0"/>
        <v>2</v>
      </c>
    </row>
    <row r="13" spans="1:10" x14ac:dyDescent="0.3">
      <c r="A13" s="7" t="s">
        <v>20</v>
      </c>
      <c r="B13" s="7" t="s">
        <v>73</v>
      </c>
      <c r="C13" s="7" t="s">
        <v>67</v>
      </c>
      <c r="D13" s="7" t="s">
        <v>85</v>
      </c>
      <c r="E13" s="21">
        <v>29475</v>
      </c>
      <c r="F13" s="22">
        <v>45469</v>
      </c>
      <c r="G13" s="23">
        <v>0.1</v>
      </c>
      <c r="H13" s="7" t="str">
        <f>IF(OR(E13&gt;43000,C13="EAST"),"Eligible","Not Eligible")</f>
        <v>Not Eligible</v>
      </c>
      <c r="I13" s="7" t="str" cm="1">
        <f t="array" ref="I13">_xlfn.IFS(E13&gt;=40000,"Excellent",E13&gt;=30000,"Good",E13&gt;=10000,"Avg",TRUE,"Poor")</f>
        <v>Avg</v>
      </c>
      <c r="J13" s="7">
        <f t="shared" ca="1" si="0"/>
        <v>2</v>
      </c>
    </row>
    <row r="14" spans="1:10" x14ac:dyDescent="0.3">
      <c r="A14" s="7" t="s">
        <v>21</v>
      </c>
      <c r="B14" s="7" t="s">
        <v>66</v>
      </c>
      <c r="C14" s="7" t="s">
        <v>69</v>
      </c>
      <c r="D14" s="7" t="s">
        <v>86</v>
      </c>
      <c r="E14" s="21">
        <v>7325</v>
      </c>
      <c r="F14" s="22">
        <v>45485</v>
      </c>
      <c r="G14" s="23">
        <v>0.02</v>
      </c>
      <c r="H14" s="7" t="str">
        <f>IF(OR(E14&gt;43000,C14="EAST"),"Eligible","Not Eligible")</f>
        <v>Not Eligible</v>
      </c>
      <c r="I14" s="7" t="str" cm="1">
        <f t="array" ref="I14">_xlfn.IFS(E14&gt;=40000,"Excellent",E14&gt;=30000,"Good",E14&gt;=10000,"Avg",TRUE,"Poor")</f>
        <v>Poor</v>
      </c>
      <c r="J14" s="7">
        <f t="shared" ca="1" si="0"/>
        <v>2</v>
      </c>
    </row>
    <row r="15" spans="1:10" x14ac:dyDescent="0.3">
      <c r="A15" s="7" t="s">
        <v>22</v>
      </c>
      <c r="B15" s="7" t="s">
        <v>70</v>
      </c>
      <c r="C15" s="7" t="s">
        <v>72</v>
      </c>
      <c r="D15" s="7" t="s">
        <v>87</v>
      </c>
      <c r="E15" s="21">
        <v>16840</v>
      </c>
      <c r="F15" s="22">
        <v>45501</v>
      </c>
      <c r="G15" s="23">
        <v>0.1</v>
      </c>
      <c r="H15" s="7" t="str">
        <f>IF(OR(E15&gt;43000,C15="EAST"),"Eligible","Not Eligible")</f>
        <v>Not Eligible</v>
      </c>
      <c r="I15" s="7" t="str" cm="1">
        <f t="array" ref="I15">_xlfn.IFS(E15&gt;=40000,"Excellent",E15&gt;=30000,"Good",E15&gt;=10000,"Avg",TRUE,"Poor")</f>
        <v>Avg</v>
      </c>
      <c r="J15" s="7">
        <f t="shared" ca="1" si="0"/>
        <v>2</v>
      </c>
    </row>
    <row r="16" spans="1:10" x14ac:dyDescent="0.3">
      <c r="A16" s="7" t="s">
        <v>23</v>
      </c>
      <c r="B16" s="7" t="s">
        <v>68</v>
      </c>
      <c r="C16" s="7" t="s">
        <v>71</v>
      </c>
      <c r="D16" s="7" t="s">
        <v>88</v>
      </c>
      <c r="E16" s="21">
        <v>21560</v>
      </c>
      <c r="F16" s="22">
        <v>45517</v>
      </c>
      <c r="G16" s="23">
        <v>0.12</v>
      </c>
      <c r="H16" s="7" t="str">
        <f>IF(OR(E16&gt;43000,C16="EAST"),"Eligible","Not Eligible")</f>
        <v>Eligible</v>
      </c>
      <c r="I16" s="7" t="str" cm="1">
        <f t="array" ref="I16">_xlfn.IFS(E16&gt;=40000,"Excellent",E16&gt;=30000,"Good",E16&gt;=10000,"Avg",TRUE,"Poor")</f>
        <v>Avg</v>
      </c>
      <c r="J16" s="7">
        <f t="shared" ca="1" si="0"/>
        <v>2</v>
      </c>
    </row>
    <row r="17" spans="1:10" x14ac:dyDescent="0.3">
      <c r="A17" s="7" t="s">
        <v>24</v>
      </c>
      <c r="B17" s="7" t="s">
        <v>74</v>
      </c>
      <c r="C17" s="7" t="s">
        <v>67</v>
      </c>
      <c r="D17" s="7" t="s">
        <v>89</v>
      </c>
      <c r="E17" s="21">
        <v>39725</v>
      </c>
      <c r="F17" s="22">
        <v>45533</v>
      </c>
      <c r="G17" s="23">
        <v>0.18</v>
      </c>
      <c r="H17" s="7" t="str">
        <f>IF(OR(E17&gt;43000,C17="EAST"),"Eligible","Not Eligible")</f>
        <v>Not Eligible</v>
      </c>
      <c r="I17" s="7" t="str" cm="1">
        <f t="array" ref="I17">_xlfn.IFS(E17&gt;=40000,"Excellent",E17&gt;=30000,"Good",E17&gt;=10000,"Avg",TRUE,"Poor")</f>
        <v>Good</v>
      </c>
      <c r="J17" s="7">
        <f t="shared" ca="1" si="0"/>
        <v>2</v>
      </c>
    </row>
    <row r="18" spans="1:10" x14ac:dyDescent="0.3">
      <c r="A18" s="7" t="s">
        <v>25</v>
      </c>
      <c r="B18" s="7" t="s">
        <v>73</v>
      </c>
      <c r="C18" s="7" t="s">
        <v>69</v>
      </c>
      <c r="D18" s="7" t="s">
        <v>90</v>
      </c>
      <c r="E18" s="21">
        <v>34680</v>
      </c>
      <c r="F18" s="22">
        <v>45549</v>
      </c>
      <c r="G18" s="23">
        <v>0.15</v>
      </c>
      <c r="H18" s="7" t="str">
        <f>IF(OR(E18&gt;43000,C18="EAST"),"Eligible","Not Eligible")</f>
        <v>Not Eligible</v>
      </c>
      <c r="I18" s="7" t="str" cm="1">
        <f t="array" ref="I18">_xlfn.IFS(E18&gt;=40000,"Excellent",E18&gt;=30000,"Good",E18&gt;=10000,"Avg",TRUE,"Poor")</f>
        <v>Good</v>
      </c>
      <c r="J18" s="7">
        <f t="shared" ca="1" si="0"/>
        <v>1</v>
      </c>
    </row>
    <row r="19" spans="1:10" x14ac:dyDescent="0.3">
      <c r="A19" s="7" t="s">
        <v>26</v>
      </c>
      <c r="B19" s="7" t="s">
        <v>66</v>
      </c>
      <c r="C19" s="7" t="s">
        <v>71</v>
      </c>
      <c r="D19" s="7" t="s">
        <v>91</v>
      </c>
      <c r="E19" s="21">
        <v>9275</v>
      </c>
      <c r="F19" s="22">
        <v>45565</v>
      </c>
      <c r="G19" s="23">
        <v>0.05</v>
      </c>
      <c r="H19" s="7" t="str">
        <f>IF(OR(E19&gt;43000,C19="EAST"),"Eligible","Not Eligible")</f>
        <v>Eligible</v>
      </c>
      <c r="I19" s="7" t="str" cm="1">
        <f t="array" ref="I19">_xlfn.IFS(E19&gt;=40000,"Excellent",E19&gt;=30000,"Good",E19&gt;=10000,"Avg",TRUE,"Poor")</f>
        <v>Poor</v>
      </c>
      <c r="J19" s="7">
        <f t="shared" ca="1" si="0"/>
        <v>1</v>
      </c>
    </row>
    <row r="20" spans="1:10" x14ac:dyDescent="0.3">
      <c r="A20" s="7" t="s">
        <v>27</v>
      </c>
      <c r="B20" s="7" t="s">
        <v>70</v>
      </c>
      <c r="C20" s="7" t="s">
        <v>67</v>
      </c>
      <c r="D20" s="7" t="s">
        <v>92</v>
      </c>
      <c r="E20" s="21">
        <v>14930</v>
      </c>
      <c r="F20" s="22">
        <v>45581</v>
      </c>
      <c r="G20" s="23">
        <v>0.08</v>
      </c>
      <c r="H20" s="7" t="str">
        <f>IF(OR(E20&gt;43000,C20="EAST"),"Eligible","Not Eligible")</f>
        <v>Not Eligible</v>
      </c>
      <c r="I20" s="7" t="str" cm="1">
        <f t="array" ref="I20">_xlfn.IFS(E20&gt;=40000,"Excellent",E20&gt;=30000,"Good",E20&gt;=10000,"Avg",TRUE,"Poor")</f>
        <v>Avg</v>
      </c>
      <c r="J20" s="7">
        <f t="shared" ca="1" si="0"/>
        <v>1</v>
      </c>
    </row>
    <row r="21" spans="1:10" x14ac:dyDescent="0.3">
      <c r="A21" s="7" t="s">
        <v>28</v>
      </c>
      <c r="B21" s="7" t="s">
        <v>68</v>
      </c>
      <c r="C21" s="7" t="s">
        <v>72</v>
      </c>
      <c r="D21" s="7" t="s">
        <v>93</v>
      </c>
      <c r="E21" s="21">
        <v>27845</v>
      </c>
      <c r="F21" s="22">
        <v>45597</v>
      </c>
      <c r="G21" s="23">
        <v>0.1</v>
      </c>
      <c r="H21" s="7" t="str">
        <f>IF(OR(E21&gt;43000,C21="EAST"),"Eligible","Not Eligible")</f>
        <v>Not Eligible</v>
      </c>
      <c r="I21" s="7" t="str" cm="1">
        <f t="array" ref="I21">_xlfn.IFS(E21&gt;=40000,"Excellent",E21&gt;=30000,"Good",E21&gt;=10000,"Avg",TRUE,"Poor")</f>
        <v>Avg</v>
      </c>
      <c r="J21" s="7">
        <f t="shared" ca="1" si="0"/>
        <v>1</v>
      </c>
    </row>
    <row r="26" spans="1:10" ht="15.6" x14ac:dyDescent="0.3">
      <c r="A26" s="24"/>
      <c r="B26" s="27" t="s">
        <v>51</v>
      </c>
      <c r="C26" s="28"/>
      <c r="F26" s="11" t="s">
        <v>96</v>
      </c>
      <c r="G26" s="19"/>
    </row>
    <row r="27" spans="1:10" x14ac:dyDescent="0.3">
      <c r="A27" s="14" t="s">
        <v>94</v>
      </c>
      <c r="B27" s="13" t="s">
        <v>56</v>
      </c>
      <c r="C27" s="13" t="s">
        <v>95</v>
      </c>
      <c r="F27" s="10" t="s">
        <v>79</v>
      </c>
      <c r="G27" s="25">
        <f>INDEX(E2:E21, MATCH(F27,D2:D21, 0))</f>
        <v>18735</v>
      </c>
    </row>
    <row r="28" spans="1:10" x14ac:dyDescent="0.3">
      <c r="A28" s="10">
        <f>SUMIFS(E2:E21,C2:C21,"South",B2:B21,"Keyboard")</f>
        <v>8940</v>
      </c>
      <c r="B28" s="10" t="s">
        <v>15</v>
      </c>
      <c r="C28" s="10">
        <f>IFERROR(VLOOKUP(B28,A2:E21,5,FALSE),"Not Found")</f>
        <v>31250</v>
      </c>
    </row>
    <row r="32" spans="1:10" ht="15.6" x14ac:dyDescent="0.3">
      <c r="A32" s="11" t="s">
        <v>97</v>
      </c>
      <c r="B32" s="12"/>
      <c r="D32" t="s">
        <v>98</v>
      </c>
      <c r="E32" s="26" t="s">
        <v>99</v>
      </c>
      <c r="G32" s="26" t="s">
        <v>100</v>
      </c>
    </row>
    <row r="33" spans="1:7" x14ac:dyDescent="0.3">
      <c r="A33" s="13" t="s">
        <v>59</v>
      </c>
      <c r="B33" s="13" t="s">
        <v>64</v>
      </c>
      <c r="E33" s="10">
        <f>_xlfn.XMATCH("Mouse",B6:B25,0,1)</f>
        <v>5</v>
      </c>
      <c r="G33" s="25">
        <f ca="1">OFFSET(A12,5,4)</f>
        <v>39725</v>
      </c>
    </row>
    <row r="34" spans="1:7" x14ac:dyDescent="0.3">
      <c r="A34" s="10" t="s">
        <v>79</v>
      </c>
      <c r="B34" s="10" t="str">
        <f>_xlfn.XLOOKUP(A34, D2:D21, H2:H21,"Not Found")</f>
        <v>Not Eligible</v>
      </c>
    </row>
  </sheetData>
  <mergeCells count="2">
    <mergeCell ref="F26:G26"/>
    <mergeCell ref="A32:B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8D722-3261-43E8-A9DE-9EED0C643448}">
  <dimension ref="A1:H36"/>
  <sheetViews>
    <sheetView tabSelected="1" workbookViewId="0"/>
  </sheetViews>
  <sheetFormatPr defaultRowHeight="14.4" x14ac:dyDescent="0.3"/>
  <cols>
    <col min="1" max="1" width="12.6640625" bestFit="1" customWidth="1"/>
    <col min="2" max="2" width="13.109375" bestFit="1" customWidth="1"/>
    <col min="3" max="3" width="12.33203125" bestFit="1" customWidth="1"/>
    <col min="4" max="4" width="11.6640625" bestFit="1" customWidth="1"/>
    <col min="5" max="5" width="18.21875" bestFit="1" customWidth="1"/>
    <col min="6" max="6" width="8.5546875" bestFit="1" customWidth="1"/>
    <col min="12" max="12" width="8.88671875" customWidth="1"/>
  </cols>
  <sheetData>
    <row r="1" spans="1:6" ht="15" x14ac:dyDescent="0.3">
      <c r="A1" s="1" t="s">
        <v>101</v>
      </c>
      <c r="B1" s="1" t="s">
        <v>1</v>
      </c>
      <c r="C1" s="1" t="s">
        <v>102</v>
      </c>
      <c r="D1" s="1" t="s">
        <v>103</v>
      </c>
      <c r="E1" s="1" t="s">
        <v>104</v>
      </c>
      <c r="F1" s="1" t="s">
        <v>105</v>
      </c>
    </row>
    <row r="2" spans="1:6" x14ac:dyDescent="0.3">
      <c r="A2" s="4" t="s">
        <v>110</v>
      </c>
      <c r="B2" s="4" t="s">
        <v>142</v>
      </c>
      <c r="C2" s="4" t="s">
        <v>108</v>
      </c>
      <c r="D2" s="29">
        <v>72450</v>
      </c>
      <c r="E2" s="5">
        <v>42414</v>
      </c>
      <c r="F2" s="7">
        <f t="shared" ref="F2:F21" ca="1" si="0">DATEDIF(MIN(E2,TODAY()),MAX(E2, TODAY()),"D")</f>
        <v>3854</v>
      </c>
    </row>
    <row r="3" spans="1:6" x14ac:dyDescent="0.3">
      <c r="A3" s="4" t="s">
        <v>111</v>
      </c>
      <c r="B3" s="4" t="s">
        <v>112</v>
      </c>
      <c r="C3" s="4" t="s">
        <v>106</v>
      </c>
      <c r="D3" s="29">
        <v>48620</v>
      </c>
      <c r="E3" s="5">
        <v>42908</v>
      </c>
      <c r="F3" s="7">
        <f t="shared" ca="1" si="0"/>
        <v>3360</v>
      </c>
    </row>
    <row r="4" spans="1:6" x14ac:dyDescent="0.3">
      <c r="A4" s="4" t="s">
        <v>113</v>
      </c>
      <c r="B4" s="4" t="s">
        <v>143</v>
      </c>
      <c r="C4" s="4" t="s">
        <v>107</v>
      </c>
      <c r="D4" s="29">
        <v>65875</v>
      </c>
      <c r="E4" s="5">
        <v>43109</v>
      </c>
      <c r="F4" s="7">
        <f t="shared" ca="1" si="0"/>
        <v>3159</v>
      </c>
    </row>
    <row r="5" spans="1:6" x14ac:dyDescent="0.3">
      <c r="A5" s="4" t="s">
        <v>114</v>
      </c>
      <c r="B5" s="4" t="s">
        <v>115</v>
      </c>
      <c r="C5" s="4" t="s">
        <v>109</v>
      </c>
      <c r="D5" s="29">
        <v>91340</v>
      </c>
      <c r="E5" s="5">
        <v>43195</v>
      </c>
      <c r="F5" s="7">
        <f t="shared" ca="1" si="0"/>
        <v>3073</v>
      </c>
    </row>
    <row r="6" spans="1:6" x14ac:dyDescent="0.3">
      <c r="A6" s="4" t="s">
        <v>116</v>
      </c>
      <c r="B6" s="4" t="s">
        <v>144</v>
      </c>
      <c r="C6" s="4" t="s">
        <v>106</v>
      </c>
      <c r="D6" s="29">
        <v>83750</v>
      </c>
      <c r="E6" s="5">
        <v>43827</v>
      </c>
      <c r="F6" s="7">
        <f t="shared" ca="1" si="0"/>
        <v>2441</v>
      </c>
    </row>
    <row r="7" spans="1:6" x14ac:dyDescent="0.3">
      <c r="A7" s="4" t="s">
        <v>118</v>
      </c>
      <c r="B7" s="4" t="s">
        <v>120</v>
      </c>
      <c r="C7" s="4" t="s">
        <v>107</v>
      </c>
      <c r="D7" s="29">
        <v>44680</v>
      </c>
      <c r="E7" s="5">
        <v>44025</v>
      </c>
      <c r="F7" s="7">
        <f t="shared" ca="1" si="0"/>
        <v>2243</v>
      </c>
    </row>
    <row r="8" spans="1:6" x14ac:dyDescent="0.3">
      <c r="A8" s="4" t="s">
        <v>119</v>
      </c>
      <c r="B8" s="4" t="s">
        <v>122</v>
      </c>
      <c r="C8" s="4" t="s">
        <v>108</v>
      </c>
      <c r="D8" s="29">
        <v>102560</v>
      </c>
      <c r="E8" s="5">
        <v>44135</v>
      </c>
      <c r="F8" s="7">
        <f t="shared" ca="1" si="0"/>
        <v>2133</v>
      </c>
    </row>
    <row r="9" spans="1:6" x14ac:dyDescent="0.3">
      <c r="A9" s="4" t="s">
        <v>121</v>
      </c>
      <c r="B9" s="4" t="s">
        <v>145</v>
      </c>
      <c r="C9" s="4" t="s">
        <v>109</v>
      </c>
      <c r="D9" s="29">
        <v>69425</v>
      </c>
      <c r="E9" s="5">
        <v>44273</v>
      </c>
      <c r="F9" s="7">
        <f t="shared" ca="1" si="0"/>
        <v>1995</v>
      </c>
    </row>
    <row r="10" spans="1:6" x14ac:dyDescent="0.3">
      <c r="A10" s="4" t="s">
        <v>123</v>
      </c>
      <c r="B10" s="4" t="s">
        <v>125</v>
      </c>
      <c r="C10" s="4" t="s">
        <v>106</v>
      </c>
      <c r="D10" s="29">
        <v>38950</v>
      </c>
      <c r="E10" s="5">
        <v>44434</v>
      </c>
      <c r="F10" s="7">
        <f t="shared" ca="1" si="0"/>
        <v>1834</v>
      </c>
    </row>
    <row r="11" spans="1:6" x14ac:dyDescent="0.3">
      <c r="A11" s="4" t="s">
        <v>124</v>
      </c>
      <c r="B11" s="4" t="s">
        <v>127</v>
      </c>
      <c r="C11" s="4" t="s">
        <v>108</v>
      </c>
      <c r="D11" s="29">
        <v>96780</v>
      </c>
      <c r="E11" s="5">
        <v>44599</v>
      </c>
      <c r="F11" s="7">
        <f t="shared" ca="1" si="0"/>
        <v>1669</v>
      </c>
    </row>
    <row r="12" spans="1:6" x14ac:dyDescent="0.3">
      <c r="A12" s="4" t="s">
        <v>126</v>
      </c>
      <c r="B12" s="4" t="s">
        <v>117</v>
      </c>
      <c r="C12" s="4" t="s">
        <v>106</v>
      </c>
      <c r="D12" s="29">
        <v>57290</v>
      </c>
      <c r="E12" s="5">
        <v>44656</v>
      </c>
      <c r="F12" s="7">
        <f t="shared" ca="1" si="0"/>
        <v>1612</v>
      </c>
    </row>
    <row r="13" spans="1:6" x14ac:dyDescent="0.3">
      <c r="A13" s="4" t="s">
        <v>128</v>
      </c>
      <c r="B13" s="4" t="s">
        <v>129</v>
      </c>
      <c r="C13" s="4" t="s">
        <v>107</v>
      </c>
      <c r="D13" s="29">
        <v>53640</v>
      </c>
      <c r="E13" s="5">
        <v>44819</v>
      </c>
      <c r="F13" s="7">
        <f t="shared" ca="1" si="0"/>
        <v>1449</v>
      </c>
    </row>
    <row r="14" spans="1:6" x14ac:dyDescent="0.3">
      <c r="A14" s="4" t="s">
        <v>130</v>
      </c>
      <c r="B14" s="4" t="s">
        <v>131</v>
      </c>
      <c r="C14" s="4" t="s">
        <v>106</v>
      </c>
      <c r="D14" s="29">
        <v>76325</v>
      </c>
      <c r="E14" s="5">
        <v>44950</v>
      </c>
      <c r="F14" s="7">
        <f t="shared" ca="1" si="0"/>
        <v>1318</v>
      </c>
    </row>
    <row r="15" spans="1:6" x14ac:dyDescent="0.3">
      <c r="A15" s="4" t="s">
        <v>132</v>
      </c>
      <c r="B15" s="4" t="s">
        <v>146</v>
      </c>
      <c r="C15" s="4" t="s">
        <v>109</v>
      </c>
      <c r="D15" s="29">
        <v>61890</v>
      </c>
      <c r="E15" s="5">
        <v>45088</v>
      </c>
      <c r="F15" s="7">
        <f t="shared" ca="1" si="0"/>
        <v>1180</v>
      </c>
    </row>
    <row r="16" spans="1:6" x14ac:dyDescent="0.3">
      <c r="A16" s="4" t="s">
        <v>133</v>
      </c>
      <c r="B16" s="4" t="s">
        <v>134</v>
      </c>
      <c r="C16" s="4" t="s">
        <v>108</v>
      </c>
      <c r="D16" s="29">
        <v>108475</v>
      </c>
      <c r="E16" s="5">
        <v>45263</v>
      </c>
      <c r="F16" s="7">
        <f t="shared" ca="1" si="0"/>
        <v>1005</v>
      </c>
    </row>
    <row r="17" spans="1:8" x14ac:dyDescent="0.3">
      <c r="A17" s="4" t="s">
        <v>135</v>
      </c>
      <c r="B17" s="4" t="s">
        <v>136</v>
      </c>
      <c r="C17" s="4" t="s">
        <v>107</v>
      </c>
      <c r="D17" s="29">
        <v>46720</v>
      </c>
      <c r="E17" s="5">
        <v>45378</v>
      </c>
      <c r="F17" s="7">
        <f t="shared" ca="1" si="0"/>
        <v>890</v>
      </c>
    </row>
    <row r="18" spans="1:8" x14ac:dyDescent="0.3">
      <c r="A18" s="4" t="s">
        <v>137</v>
      </c>
      <c r="B18" s="4" t="s">
        <v>147</v>
      </c>
      <c r="C18" s="4" t="s">
        <v>106</v>
      </c>
      <c r="D18" s="29">
        <v>88560</v>
      </c>
      <c r="E18" s="5">
        <v>45554</v>
      </c>
      <c r="F18" s="7">
        <f t="shared" ca="1" si="0"/>
        <v>714</v>
      </c>
    </row>
    <row r="19" spans="1:8" x14ac:dyDescent="0.3">
      <c r="A19" s="4" t="s">
        <v>138</v>
      </c>
      <c r="B19" s="4" t="s">
        <v>85</v>
      </c>
      <c r="C19" s="4" t="s">
        <v>108</v>
      </c>
      <c r="D19" s="29">
        <v>73915</v>
      </c>
      <c r="E19" s="5">
        <v>45669</v>
      </c>
      <c r="F19" s="7">
        <f t="shared" ca="1" si="0"/>
        <v>599</v>
      </c>
    </row>
    <row r="20" spans="1:8" x14ac:dyDescent="0.3">
      <c r="A20" s="4" t="s">
        <v>139</v>
      </c>
      <c r="B20" s="4" t="s">
        <v>140</v>
      </c>
      <c r="C20" s="4" t="s">
        <v>109</v>
      </c>
      <c r="D20" s="29">
        <v>112680</v>
      </c>
      <c r="E20" s="5">
        <v>45844</v>
      </c>
      <c r="F20" s="7">
        <f t="shared" ca="1" si="0"/>
        <v>424</v>
      </c>
    </row>
    <row r="21" spans="1:8" x14ac:dyDescent="0.3">
      <c r="A21" s="4" t="s">
        <v>141</v>
      </c>
      <c r="B21" s="4" t="s">
        <v>148</v>
      </c>
      <c r="C21" s="4" t="s">
        <v>107</v>
      </c>
      <c r="D21" s="29">
        <v>59350</v>
      </c>
      <c r="E21" s="5">
        <v>45982</v>
      </c>
      <c r="F21" s="7">
        <f t="shared" ca="1" si="0"/>
        <v>286</v>
      </c>
    </row>
    <row r="25" spans="1:8" ht="15.6" x14ac:dyDescent="0.3">
      <c r="A25" s="11" t="s">
        <v>96</v>
      </c>
      <c r="B25" s="15"/>
      <c r="C25" s="15"/>
      <c r="D25" s="12"/>
      <c r="H25" s="26" t="s">
        <v>156</v>
      </c>
    </row>
    <row r="26" spans="1:8" x14ac:dyDescent="0.3">
      <c r="A26" s="13" t="s">
        <v>149</v>
      </c>
      <c r="B26" s="13" t="s">
        <v>1</v>
      </c>
      <c r="C26" s="13" t="s">
        <v>150</v>
      </c>
      <c r="D26" s="13" t="s">
        <v>103</v>
      </c>
      <c r="H26" s="10" t="str">
        <f>LEFT(E9,4)</f>
        <v>4427</v>
      </c>
    </row>
    <row r="27" spans="1:8" x14ac:dyDescent="0.3">
      <c r="A27" s="10" t="s">
        <v>126</v>
      </c>
      <c r="B27" s="10" t="str">
        <f t="shared" ref="B27:D27" si="1">INDEX(B2:B21, MATCH($A$27, $A$2:$A$21, 0))</f>
        <v>Vivaan Desai</v>
      </c>
      <c r="C27" s="10" t="str">
        <f t="shared" si="1"/>
        <v>Finance</v>
      </c>
      <c r="D27" s="25">
        <f t="shared" si="1"/>
        <v>57290</v>
      </c>
    </row>
    <row r="28" spans="1:8" ht="15.6" x14ac:dyDescent="0.3">
      <c r="H28" s="26" t="s">
        <v>157</v>
      </c>
    </row>
    <row r="29" spans="1:8" x14ac:dyDescent="0.3">
      <c r="H29" s="10">
        <f>FIND(" ",B18)</f>
        <v>6</v>
      </c>
    </row>
    <row r="30" spans="1:8" ht="15.6" x14ac:dyDescent="0.3">
      <c r="A30" s="26" t="s">
        <v>151</v>
      </c>
      <c r="B30" s="26" t="s">
        <v>152</v>
      </c>
      <c r="D30" s="11" t="s">
        <v>97</v>
      </c>
      <c r="E30" s="12"/>
    </row>
    <row r="31" spans="1:8" x14ac:dyDescent="0.3">
      <c r="A31" s="10" t="str">
        <f>UPPER(B21)</f>
        <v>JONAL SHAH</v>
      </c>
      <c r="B31" s="10" t="str">
        <f>LOWER(C10)</f>
        <v>finance</v>
      </c>
      <c r="D31" s="13" t="s">
        <v>149</v>
      </c>
      <c r="E31" s="13" t="s">
        <v>103</v>
      </c>
    </row>
    <row r="32" spans="1:8" x14ac:dyDescent="0.3">
      <c r="D32" s="10" t="s">
        <v>113</v>
      </c>
      <c r="E32" s="25">
        <f>_xlfn.XLOOKUP(D32, A2:A21, D2:D21)</f>
        <v>65875</v>
      </c>
    </row>
    <row r="35" spans="1:6" ht="15.6" x14ac:dyDescent="0.3">
      <c r="A35" s="11" t="s">
        <v>153</v>
      </c>
      <c r="B35" s="12"/>
      <c r="C35" s="11" t="s">
        <v>154</v>
      </c>
      <c r="D35" s="12"/>
      <c r="E35" s="11" t="s">
        <v>155</v>
      </c>
      <c r="F35" s="12"/>
    </row>
    <row r="36" spans="1:6" x14ac:dyDescent="0.3">
      <c r="A36" s="10">
        <v>4563.1279999999997</v>
      </c>
      <c r="B36" s="10">
        <f>ROUND(A36,2)</f>
        <v>4563.13</v>
      </c>
      <c r="C36" s="10">
        <v>6542.8649999999998</v>
      </c>
      <c r="D36" s="10">
        <f>CEILING(C36,1)</f>
        <v>6543</v>
      </c>
      <c r="E36" s="10">
        <v>865.49</v>
      </c>
      <c r="F36" s="10">
        <f>FLOOR(E36,1)</f>
        <v>865</v>
      </c>
    </row>
  </sheetData>
  <mergeCells count="5">
    <mergeCell ref="A25:D25"/>
    <mergeCell ref="D30:E30"/>
    <mergeCell ref="A35:B35"/>
    <mergeCell ref="C35:D35"/>
    <mergeCell ref="E35:F3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Marks</vt:lpstr>
      <vt:lpstr>Sales Data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 Patel</dc:creator>
  <cp:lastModifiedBy>Manav Patel</cp:lastModifiedBy>
  <dcterms:created xsi:type="dcterms:W3CDTF">2015-06-05T18:17:20Z</dcterms:created>
  <dcterms:modified xsi:type="dcterms:W3CDTF">2026-09-03T05:12:29Z</dcterms:modified>
</cp:coreProperties>
</file>