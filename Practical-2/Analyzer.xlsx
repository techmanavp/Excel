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8784CB13-43F8-4B07-9F51-ECC84303111D}"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Dashboard" sheetId="19" r:id="rId2"/>
    <sheet name="KPI_Data" sheetId="20" r:id="rId3"/>
    <sheet name="High_Value_Customers" sheetId="10" r:id="rId4"/>
    <sheet name="Region_Wise_Product_Analysis" sheetId="11" r:id="rId5"/>
    <sheet name="Pivot_Region" sheetId="13" r:id="rId6"/>
    <sheet name="Monthly Sales Trend" sheetId="12" r:id="rId7"/>
    <sheet name="Regression" sheetId="4" r:id="rId8"/>
    <sheet name="Descriptive_Analysis" sheetId="8" r:id="rId9"/>
    <sheet name="Dataset" sheetId="2" r:id="rId10"/>
    <sheet name="Monthly_Growth" sheetId="9" r:id="rId11"/>
    <sheet name="Product Performance" sheetId="14" r:id="rId12"/>
    <sheet name="Profit_Analysis" sheetId="3" r:id="rId13"/>
  </sheets>
  <definedNames>
    <definedName name="NativeTimeline_Order_Date">#N/A</definedName>
    <definedName name="Slicer_Product_Category">#N/A</definedName>
    <definedName name="Slicer_Region">#N/A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 l="1"/>
  <c r="B2" i="20"/>
  <c r="B3" i="20"/>
  <c r="B4" i="20"/>
  <c r="B1" i="20"/>
  <c r="B2" i="3"/>
  <c r="B4" i="3"/>
  <c r="A7" i="10" a="1"/>
  <c r="A7" i="10" s="1"/>
  <c r="B2" i="10"/>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C14" i="9"/>
  <c r="C3" i="9"/>
  <c r="K2"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C5" i="9"/>
  <c r="C4" i="9"/>
  <c r="C6" i="9"/>
  <c r="C7" i="9"/>
  <c r="C8" i="9"/>
  <c r="C9" i="9"/>
  <c r="C10" i="9"/>
  <c r="C11" i="9"/>
  <c r="C12" i="9"/>
  <c r="C13" i="9"/>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C15"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<sst xmlns="http://schemas.openxmlformats.org/spreadsheetml/2006/main" count="937" uniqueCount="162">
  <si>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</si>
  <si>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</si>
  <si>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</si>
  <si>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</si>
  <si>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</si>
  <si>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</si>
  <si>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</si>
  <si>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</si>
  <si>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</si>
  <si>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</si>
  <si>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</si>
  <si>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</si>
  <si>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</si>
  <si>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</si>
  <si>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</si>
  <si>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</si>
  <si>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</si>
  <si>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</si>
  <si>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</si>
  <si>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</si>
  <si>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</si>
  <si>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</si>
  <si>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</si>
  <si>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</si>
  <si>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</si>
  <si>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</si>
  <si>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</si>
  <si>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</si>
  <si>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</si>
  <si>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</si>
  <si>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</si>
  <si>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</si>
  <si>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</si>
  <si>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</si>
  <si>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</si>
  <si>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</si>
  <si>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</si>
  <si>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</si>
  <si>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</si>
  <si>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</si>
  <si>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</si>
  <si>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</si>
  <si>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</si>
  <si>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</si>
  <si>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</si>
  <si>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</si>
  <si>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</si>
  <si>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</si>
  <si>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</si>
  <si>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</si>
  <si>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</si>
  <si>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</si>
  <si>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</si>
  <si>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</si>
  <si>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</si>
  <si>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</si>
  <si>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</si>
  <si>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</si>
  <si>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</si>
  <si>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</si>
  <si>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</si>
  <si>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</si>
  <si>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</si>
  <si>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</si>
  <si>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</si>
  <si>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</si>
  <si>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</si>
  <si>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</si>
  <si>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</si>
  <si>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</si>
  <si>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</si>
  <si>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</si>
  <si>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</si>
  <si>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</si>
  <si>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</si>
  <si>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</si>
  <si>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</si>
  <si>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Customer Sales</t>
  </si>
  <si>
    <t>Column1</t>
  </si>
  <si>
    <t>Matrics</t>
  </si>
  <si>
    <t>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</si>
  <si>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</si>
  <si>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</si>
  <si>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</si>
  <si>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</si>
  <si>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</si>
  <si>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</si>
  <si>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</si>
  <si>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</si>
  <si>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</si>
  <si>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</si>
  <si>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</si>
  <si>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</si>
  <si>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</si>
  <si>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</si>
  <si>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</si>
  <si>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</si>
  <si>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</si>
  <si>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</si>
  <si>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</si>
  <si>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</si>
  <si>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</si>
  <si>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</si>
  <si>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</si>
  <si>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</si>
  <si>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</si>
  <si>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</si>
  <si>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</si>
  <si>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</si>
  <si>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</si>
  <si>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</si>
  <si>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</si>
  <si>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</si>
  <si>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</si>
  <si>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</si>
  <si>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</si>
  <si>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</si>
  <si>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</si>
  <si>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Month</t>
  </si>
  <si>
    <t>Grand Total</t>
  </si>
  <si>
    <t>Sum of Sales</t>
  </si>
  <si>
    <t>Growth %</t>
  </si>
  <si>
    <t>Apr-2024</t>
  </si>
  <si>
    <t>May-2024</t>
  </si>
  <si>
    <t>Jun-2024</t>
  </si>
  <si>
    <t>Jul-2024</t>
  </si>
  <si>
    <t>Aug-2024</t>
  </si>
  <si>
    <t>Sep-2024</t>
  </si>
  <si>
    <t>Oct-2024</t>
  </si>
  <si>
    <t>Nov-2024</t>
  </si>
  <si>
    <t>Dec-2024</t>
  </si>
  <si>
    <t>Jan-2025</t>
  </si>
  <si>
    <t>Feb-2025</t>
  </si>
  <si>
    <t>Mar-2025</t>
  </si>
  <si>
    <t>Apr-2025</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</si>
  <si>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</si>
  <si>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Timestamp</t>
  </si>
  <si>
    <t>Enter Customer Name</t>
  </si>
  <si>
    <t>Total Sales</t>
  </si>
  <si>
    <t xml:space="preserve"> High-Value Customers </t>
  </si>
  <si>
    <t>Product Category</t>
  </si>
  <si>
    <t>Region-wise Product Sales Analysis</t>
  </si>
  <si>
    <t>Sales Amount</t>
  </si>
  <si>
    <t>Montly Sales Trend</t>
  </si>
  <si>
    <t>Regional Contribution</t>
  </si>
  <si>
    <t>2024</t>
  </si>
  <si>
    <t>2025</t>
  </si>
  <si>
    <t>Apr</t>
  </si>
  <si>
    <t>May</t>
  </si>
  <si>
    <t>Jun</t>
  </si>
  <si>
    <t>Jul</t>
  </si>
  <si>
    <t>Aug</t>
  </si>
  <si>
    <t>Sep</t>
  </si>
  <si>
    <t>Oct</t>
  </si>
  <si>
    <t>Nov</t>
  </si>
  <si>
    <t>Dec</t>
  </si>
  <si>
    <t>Jan</t>
  </si>
  <si>
    <t>Feb</t>
  </si>
  <si>
    <t>Mar</t>
  </si>
  <si>
    <t>Best Region</t>
  </si>
  <si>
    <t>Best Product</t>
  </si>
  <si>
    <t>Top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</si>
</sst>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hh:mm\ AM/PM"/>
  </numFmts>
  <fonts count="17"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sz val="11"/>
      <color theme="0"/>
      <name val="Calibri"/>
      <family val="2"/>
      <scheme val="minor"/>
    </font>
    <font>
      <i/>
      <sz val="11"/>
      <color theme="1"/>
      <name val="Calibri"/>
      <family val="2"/>
      <scheme val="minor"/>
    </font>
    <font>
      <i/>
      <sz val="11"/>
      <color theme="0"/>
      <name val="Calibri"/>
      <family val="2"/>
      <scheme val="minor"/>
    </font>
    <font>
      <b/>
      <sz val="11"/>
      <color theme="0"/>
      <name val="Calibri"/>
      <family val="2"/>
      <scheme val="minor"/>
    </font>
    <font>
      <b/>
      <sz val="11"/>
      <color theme="1"/>
      <name val="Calibri"/>
      <family val="2"/>
      <scheme val="minor"/>
    </font>
    <font>
      <sz val="11"/>
      <color theme="1"/>
      <name val="Calibri"/>
      <family val="2"/>
    </font>
    <font>
      <b/>
      <sz val="12"/>
      <color theme="1"/>
      <name val="Times New Roman"/>
      <family val="1"/>
    </font>
    <font>
      <sz val="12"/>
      <color theme="1"/>
      <name val="Times New Roman"/>
      <family val="1"/>
    </font>
    <font>
      <b/>
      <sz val="28"/>
      <color theme="0"/>
      <name val="Times New Roman"/>
      <family val="1"/>
    </font>
  </fonts>
  <fills count="9">
    <fill>
      <patternFill patternType="none"/>
    </fill>
    <fill>
      <patternFill patternType="gray125"/>
    </fill>
    <fill>
      <patternFill patternType="solid">
        <fgColor rgb="FFFFF2CC"/>
        <bgColor rgb="FFFFF2CC"/>
      </patternFill>
    </fill>
    <fill>
      <patternFill patternType="solid">
        <fgColor rgb="FF00B0F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92D050"/>
        <bgColor indexed="64"/>
      </patternFill>
    </fill>
    <fill>
      <patternFill patternType="solid">
        <fgColor rgb="FF0070C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2" fillId="2" borderId="1" xfId="0" applyFont="1" applyFill="1" applyBorder="1" applyAlignment="1">
      <alignment horizontal="center"/>
    </xf>
    <xf numFmtId="0" fontId="3" fillId="0" borderId="0" xfId="0" applyFont="1"/>
    <xf numFmtId="0" fontId="4" fillId="0" borderId="0" xfId="0" applyFont="1"/>
    <xf numFmtId="0" fontId="9" fillId="0" borderId="2" xfId="0" applyFont="1" applyBorder="1" applyAlignment="1">
      <alignment horizontal="centerContinuous"/>
    </xf>
    <xf numFmtId="0" fontId="0" fillId="4" borderId="3" xfId="0" applyFill="1" applyBorder="1"/>
    <xf numFmtId="0" fontId="0" fillId="0" borderId="0" xfId="0" pivotButton="1"/>
    <xf numFmtId="0" fontId="0" fillId="0" borderId="0" xfId="0" applyAlignment="1">
      <alignment horizontal="left"/>
    </xf>
    <xf numFmtId="0" fontId="9" fillId="5" borderId="3" xfId="0" applyFont="1" applyFill="1" applyBorder="1" applyAlignment="1">
      <alignment horizontal="center"/>
    </xf>
    <xf numFmtId="0" fontId="10" fillId="5" borderId="3" xfId="0" applyFont="1" applyFill="1" applyBorder="1" applyAlignment="1">
      <alignment horizontal="center"/>
    </xf>
    <xf numFmtId="0" fontId="8" fillId="5" borderId="3" xfId="0" applyFont="1" applyFill="1" applyBorder="1"/>
    <xf numFmtId="0" fontId="0" fillId="5" borderId="3" xfId="0" applyFill="1" applyBorder="1"/>
    <xf numFmtId="0" fontId="0" fillId="0" borderId="3" xfId="0" pivotButton="1" applyBorder="1" applyAlignment="1">
      <alignment horizontal="center"/>
    </xf>
    <xf numFmtId="0" fontId="0" fillId="0" borderId="3" xfId="0" applyBorder="1" applyAlignment="1">
      <alignment horizontal="center"/>
    </xf>
    <xf numFmtId="0" fontId="0" fillId="0" borderId="0" xfId="0"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0" fillId="4" borderId="3" xfId="0" applyFill="1" applyBorder="1" applyAlignment="1">
      <alignment horizontal="center"/>
    </xf>
    <xf numFmtId="0" fontId="13" fillId="0" borderId="1" xfId="0" applyFont="1" applyBorder="1" applyAlignment="1">
      <alignment wrapText="1"/>
    </xf>
    <xf numFmtId="10" fontId="0" fillId="4" borderId="3" xfId="0" applyNumberFormat="1" applyFill="1" applyBorder="1"/>
    <xf numFmtId="0" fontId="0" fillId="6" borderId="3" xfId="0" applyFill="1" applyBorder="1" applyAlignment="1">
      <alignment horizontal="center"/>
    </xf>
    <xf numFmtId="0" fontId="0" fillId="6" borderId="3" xfId="0" applyFill="1" applyBorder="1"/>
    <xf numFmtId="10" fontId="0" fillId="6" borderId="3" xfId="0" applyNumberFormat="1" applyFill="1" applyBorder="1"/>
    <xf numFmtId="165" fontId="4" fillId="0" borderId="0" xfId="0" applyNumberFormat="1" applyFont="1"/>
    <xf numFmtId="165" fontId="0" fillId="0" borderId="0" xfId="0" applyNumberFormat="1" applyAlignment="1">
      <alignment horizontal="center"/>
    </xf>
    <xf numFmtId="165" fontId="0" fillId="0" borderId="0" xfId="0" applyNumberFormat="1"/>
    <xf numFmtId="0" fontId="1" fillId="5" borderId="3" xfId="0" applyFont="1" applyFill="1" applyBorder="1" applyAlignment="1">
      <alignment horizontal="center" vertical="center" wrapText="1"/>
    </xf>
    <xf numFmtId="0" fontId="1" fillId="5" borderId="3" xfId="0" applyFont="1" applyFill="1" applyBorder="1" applyAlignment="1">
      <alignment horizontal="center"/>
    </xf>
    <xf numFmtId="0" fontId="8" fillId="5" borderId="3" xfId="0" applyFont="1" applyFill="1" applyBorder="1" applyAlignment="1">
      <alignment horizontal="center" vertical="center" wrapText="1"/>
    </xf>
    <xf numFmtId="0" fontId="8" fillId="4" borderId="3" xfId="0" applyFont="1" applyFill="1" applyBorder="1" applyAlignment="1">
      <alignment horizontal="center"/>
    </xf>
    <xf numFmtId="0" fontId="0" fillId="0" borderId="0" xfId="0" pivotButton="1" applyAlignment="1">
      <alignment horizontal="center"/>
    </xf>
    <xf numFmtId="0" fontId="0" fillId="0" borderId="3" xfId="0" applyBorder="1" applyAlignment="1">
      <alignment horizontal="center" indent="1"/>
    </xf>
    <xf numFmtId="0" fontId="15" fillId="4" borderId="3" xfId="0" applyFont="1" applyFill="1" applyBorder="1"/>
    <xf numFmtId="0" fontId="15" fillId="4" borderId="3" xfId="0" applyFont="1" applyFill="1" applyBorder="1" applyAlignment="1">
      <alignment horizontal="left"/>
    </xf>
    <xf numFmtId="0" fontId="15" fillId="0" borderId="0" xfId="0" applyFont="1"/>
    <xf numFmtId="0" fontId="0" fillId="8" borderId="0" xfId="0" applyFill="1"/>
    <xf numFmtId="0" fontId="0" fillId="8" borderId="0" xfId="0" applyFill="1" applyAlignment="1">
      <alignment horizontal="center"/>
    </xf>
    <xf numFmtId="0" fontId="0" fillId="0" borderId="0" xfId="0" applyAlignment="1">
      <alignment horizontal="center"/>
    </xf>
    <xf numFmtId="0" fontId="16" fillId="8" borderId="0" xfId="0" applyFont="1" applyFill="1" applyAlignment="1">
      <alignment horizontal="center"/>
    </xf>
    <xf numFmtId="0" fontId="12" fillId="5" borderId="2" xfId="0" applyFont="1" applyFill="1" applyBorder="1" applyAlignment="1">
      <alignment horizontal="center"/>
    </xf>
    <xf numFmtId="0" fontId="0" fillId="5" borderId="2" xfId="0" applyFill="1" applyBorder="1" applyAlignment="1">
      <alignment horizontal="center"/>
    </xf>
    <xf numFmtId="0" fontId="11" fillId="7" borderId="0" xfId="0" applyFont="1" applyFill="1" applyAlignment="1">
      <alignment horizontal="center"/>
    </xf>
    <xf numFmtId="0" fontId="8" fillId="7" borderId="0" xfId="0" applyFont="1" applyFill="1" applyAlignment="1">
      <alignment horizontal="center"/>
    </xf>
    <xf numFmtId="0" fontId="14" fillId="4" borderId="3" xfId="0" applyFont="1" applyFill="1" applyBorder="1" applyAlignment="1">
      <alignment horizontal="center"/>
    </xf>
    <xf numFmtId="0" fontId="15" fillId="4" borderId="3" xfId="0" applyFont="1" applyFill="1" applyBorder="1" applyAlignment="1">
      <alignment horizontal="center"/>
    </xf>
    <xf numFmtId="0" fontId="12" fillId="4" borderId="2" xfId="0" applyFont="1" applyFill="1" applyBorder="1" applyAlignment="1">
      <alignment horizontal="center"/>
    </xf>
    <xf numFmtId="0" fontId="8" fillId="3" borderId="0" xfId="0" applyFont="1" applyFill="1" applyAlignment="1">
      <alignment horizontal="center"/>
    </xf>
    <xf numFmtId="0" fontId="8" fillId="5" borderId="3" xfId="0" applyFont="1" applyFill="1" applyBorder="1" applyAlignment="1">
      <alignment horizontal="center"/>
    </xf>
    <xf numFmtId="0" fontId="10" fillId="3" borderId="3" xfId="0" applyFont="1" applyFill="1" applyBorder="1" applyAlignment="1">
      <alignment horizontal="center"/>
    </xf>
  </cellXfs>
  <cellStyles count="1">
    <cellStyle name="Normal" xfId="0" builtinId="0"/>
  </cellStyles>
  <dxfs count="110">
    <dxf>
      <font>
        <color rgb="FF006100"/>
      </font>
      <fill>
        <patternFill>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0"/>
        </patternFill>
      </fill>
    </dxf>
    <dxf>
      <fill>
        <patternFill>
          <bgColor theme="0"/>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hh:mm\ AM/P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[Project2_Analyzer.xlsx]Product Performance!PivotTable5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6397-41ED-82E9-B8C0DD52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2-6397-41ED-82E9-B8C0DD521195}"/>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[Project2_Analyzer.xlsx]Pivot_Region!PivotTable4</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pivotFmt>
      <c:pivotFmt>
        <c:idx val="8"/>
        <c:spPr>
          <a:solidFill>
            <a:schemeClr val="accent2"/>
          </a:solidFill>
          <a:ln>
            <a:noFill/>
          </a:ln>
          <a:effectLst>
            <a:outerShdw blurRad="63500" sx="102000" sy="102000" algn="ctr" rotWithShape="0">
              <a:prstClr val="black">
                <a:alpha val="20000"/>
              </a:prstClr>
            </a:outerShdw>
          </a:effectLst>
        </c:spPr>
      </c:pivotFmt>
      <c:pivotFmt>
        <c:idx val="9"/>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63500" sx="102000" sy="102000" algn="ctr" rotWithShape="0">
              <a:prstClr val="black">
                <a:alpha val="20000"/>
              </a:prstClr>
            </a:outerShdw>
          </a:effectLst>
        </c:spPr>
      </c:pivotFmt>
      <c:pivotFmt>
        <c:idx val="11"/>
        <c:spPr>
          <a:solidFill>
            <a:schemeClr val="accent5"/>
          </a:solidFill>
          <a:ln>
            <a:noFill/>
          </a:ln>
          <a:effectLst>
            <a:outerShdw blurRad="63500" sx="102000" sy="102000" algn="ctr" rotWithShape="0">
              <a:prstClr val="black">
                <a:alpha val="20000"/>
              </a:prstClr>
            </a:outerShdw>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pivotFmt>
      <c:pivotFmt>
        <c:idx val="14"/>
        <c:spPr>
          <a:solidFill>
            <a:schemeClr val="accent2"/>
          </a:solidFill>
          <a:ln>
            <a:noFill/>
          </a:ln>
          <a:effectLst>
            <a:outerShdw blurRad="63500" sx="102000" sy="102000" algn="ctr" rotWithShape="0">
              <a:prstClr val="black">
                <a:alpha val="20000"/>
              </a:prstClr>
            </a:outerShdw>
          </a:effectLst>
        </c:spPr>
      </c:pivotFmt>
      <c:pivotFmt>
        <c:idx val="15"/>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63500" sx="102000" sy="102000" algn="ctr" rotWithShape="0">
              <a:prstClr val="black">
                <a:alpha val="20000"/>
              </a:prstClr>
            </a:outerShdw>
          </a:effectLst>
        </c:spPr>
      </c:pivotFmt>
      <c:pivotFmt>
        <c:idx val="17"/>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C27-4D30-A9A1-B6D2506403F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C27-4D30-A9A1-B6D2506403F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C27-4D30-A9A1-B6D2506403F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C27-4D30-A9A1-B6D2506403F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C27-4D30-A9A1-B6D2506403F2}"/>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C27-4D30-A9A1-B6D2506403F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0C27-4D30-A9A1-B6D2506403F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[Project2_Analyzer.xlsx]Monthly Sales 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92E3-4CCC-A24F-1AD4074263D4}"/>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[Project2_Analyzer.xlsx]Region_Wise_Product_Analysis!PivotTable2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D72-4614-94B2-D7334386F16C}"/>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F154-4EAA-AF8D-E8AF6E2A5BC1}"/>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F154-4EAA-AF8D-E8AF6E2A5BC1}"/>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F154-4EAA-AF8D-E8AF6E2A5BC1}"/>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F154-4EAA-AF8D-E8AF6E2A5BC1}"/>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8985043817747305"/>
          <c:h val="7.7961468719059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[Project2_Analyzer.xlsx]Region_Wise_Product_Analysis!PivotTable2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AFC-495B-B486-EA23A2ADDAAF}"/>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0-3304-4BFE-BE97-EC9697998BED}"/>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1-3304-4BFE-BE97-EC9697998BED}"/>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2-3304-4BFE-BE97-EC9697998BED}"/>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3-3304-4BFE-BE97-EC9697998BED}"/>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3721235849673918"/>
          <c:h val="6.51800622257096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[Project2_Analyzer.xlsx]Pivot_Region!PivotTable4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4A9-4E33-A474-55E1BF5803E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4A9-4E33-A474-55E1BF5803E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4A9-4E33-A474-55E1BF5803E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4A9-4E33-A474-55E1BF5803E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54A9-4E33-A474-55E1BF5803E9}"/>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4A9-4E33-A474-55E1BF5803E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54A9-4E33-A474-55E1BF5803E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2-E5C2-400C-91EF-23879DE11151}"/>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[Project2_Analyzer.xlsx]Product Performance!PivotTable5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2-3FDE-412F-A7A7-75E353805220}"/>
              </c:ext>
            </c:extLst>
          </c:dPt>
          <c:dPt>
            <c:idx val="3"/>
            <c:invertIfNegative val="0"/>
            <c:bubble3D val="0"/>
            <c:spPr>
              <a:solidFill>
                <a:srgbClr val="92D050"/>
              </a:solidFill>
              <a:ln>
                <a:noFill/>
              </a:ln>
              <a:effectLst/>
            </c:spPr>
            <c:extLst>
              <c:ext xmlns:c16="http://schemas.microsoft.com/office/drawing/2014/chart" uri="{C3380CC4-5D6E-409C-BE32-E72D297353CC}">
                <c16:uniqueId val="{00000003-D661-4E1E-8DB9-1ECCD5E698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3FDE-412F-A7A7-75E353805220}"/>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297404</xdr:colOff>
      <xdr:row>4</xdr:row>
      <xdr:rowOff>120316</xdr:rowOff>
    </xdr:from>
    <xdr:to>
      <xdr:col>8</xdr:col>
      <xdr:colOff>177092</xdr:colOff>
      <xdr:row>6</xdr:row>
      <xdr:rowOff>130342</xdr:rowOff>
    </xdr:to>
    <xdr:sp macro="" textlink="KPI_Data!B1">
      <xdr:nvSpPr>
        <xdr:cNvPr id="5" name="Rectangle: Rounded Corners 4">
          <a:extLst>
            <a:ext uri="{FF2B5EF4-FFF2-40B4-BE49-F238E27FC236}">
              <a16:creationId xmlns:a16="http://schemas.microsoft.com/office/drawing/2014/main" id="{E9DB2F86-957E-16CC-7DBF-13FD87687FFB}"/>
            </a:ext>
          </a:extLst>
        </xdr:cNvPr>
        <xdr:cNvSpPr/>
      </xdr:nvSpPr>
      <xdr:spPr>
        <a:xfrm>
          <a:off x="3967883" y="850119"/>
          <a:ext cx="1103181" cy="374927"/>
        </a:xfrm>
        <a:prstGeom prst="roundRect">
          <a:avLst/>
        </a:prstGeom>
        <a:solidFill>
          <a:srgbClr val="92D05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BA932426-16D2-428A-9212-D28150486783}" type="TxLink">
            <a:rPr lang="en-US" sz="1100" b="1" i="0" u="none" strike="noStrike">
              <a:solidFill>
                <a:schemeClr val="bg1"/>
              </a:solidFill>
              <a:latin typeface="Calibri"/>
              <a:ea typeface="Calibri"/>
              <a:cs typeface="Calibri"/>
            </a:rPr>
            <a:pPr algn="ctr"/>
            <a:t>₹ 1,95,217.76</a:t>
          </a:fld>
          <a:endParaRPr lang="en-IN" sz="1100" b="1">
            <a:solidFill>
              <a:schemeClr val="bg1"/>
            </a:solidFill>
          </a:endParaRPr>
        </a:p>
      </xdr:txBody>
    </xdr:sp>
    <xdr:clientData/>
  </xdr:twoCellAnchor>
  <xdr:twoCellAnchor>
    <xdr:from>
      <xdr:col>8</xdr:col>
      <xdr:colOff>427890</xdr:colOff>
      <xdr:row>4</xdr:row>
      <xdr:rowOff>120317</xdr:rowOff>
    </xdr:from>
    <xdr:to>
      <xdr:col>10</xdr:col>
      <xdr:colOff>297407</xdr:colOff>
      <xdr:row>6</xdr:row>
      <xdr:rowOff>130342</xdr:rowOff>
    </xdr:to>
    <xdr:sp macro="" textlink="KPI_Data!B2">
      <xdr:nvSpPr>
        <xdr:cNvPr id="7" name="Rectangle: Rounded Corners 6">
          <a:extLst>
            <a:ext uri="{FF2B5EF4-FFF2-40B4-BE49-F238E27FC236}">
              <a16:creationId xmlns:a16="http://schemas.microsoft.com/office/drawing/2014/main" id="{4DFB0675-0518-4196-BC36-EB17C26BED85}"/>
            </a:ext>
          </a:extLst>
        </xdr:cNvPr>
        <xdr:cNvSpPr/>
      </xdr:nvSpPr>
      <xdr:spPr>
        <a:xfrm>
          <a:off x="5321862" y="850120"/>
          <a:ext cx="1093010" cy="374926"/>
        </a:xfrm>
        <a:prstGeom prst="roundRect">
          <a:avLst/>
        </a:prstGeom>
        <a:solidFill>
          <a:srgbClr val="FFC00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544DBD9F-B0AE-4773-AE5E-8AAC5C8360B7}" type="TxLink">
            <a:rPr lang="en-US" sz="1100" b="1" i="0" u="none" strike="noStrike">
              <a:solidFill>
                <a:schemeClr val="bg1"/>
              </a:solidFill>
              <a:latin typeface="Calibri"/>
              <a:ea typeface="Calibri"/>
              <a:cs typeface="Calibri"/>
            </a:rPr>
            <a:pPr algn="ctr"/>
            <a:t>West</a:t>
          </a:fld>
          <a:endParaRPr lang="en-IN" sz="1100" b="1">
            <a:solidFill>
              <a:schemeClr val="bg1"/>
            </a:solidFill>
          </a:endParaRPr>
        </a:p>
      </xdr:txBody>
    </xdr:sp>
    <xdr:clientData/>
  </xdr:twoCellAnchor>
  <xdr:twoCellAnchor>
    <xdr:from>
      <xdr:col>6</xdr:col>
      <xdr:colOff>317451</xdr:colOff>
      <xdr:row>3</xdr:row>
      <xdr:rowOff>60158</xdr:rowOff>
    </xdr:from>
    <xdr:to>
      <xdr:col>8</xdr:col>
      <xdr:colOff>167056</xdr:colOff>
      <xdr:row>4</xdr:row>
      <xdr:rowOff>50131</xdr:rowOff>
    </xdr:to>
    <xdr:sp macro="" textlink="">
      <xdr:nvSpPr>
        <xdr:cNvPr id="3" name="TextBox 2">
          <a:extLst>
            <a:ext uri="{FF2B5EF4-FFF2-40B4-BE49-F238E27FC236}">
              <a16:creationId xmlns:a16="http://schemas.microsoft.com/office/drawing/2014/main" id="{0457BA79-804A-C301-B966-CD776CB315D7}"/>
            </a:ext>
          </a:extLst>
        </xdr:cNvPr>
        <xdr:cNvSpPr txBox="1"/>
      </xdr:nvSpPr>
      <xdr:spPr>
        <a:xfrm>
          <a:off x="3987930" y="607510"/>
          <a:ext cx="1073098" cy="17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b="1" baseline="0"/>
            <a:t> SALES</a:t>
          </a:r>
          <a:endParaRPr lang="en-IN" sz="1100" b="1"/>
        </a:p>
        <a:p>
          <a:pPr algn="ctr"/>
          <a:endParaRPr lang="en-IN" sz="1100"/>
        </a:p>
        <a:p>
          <a:pPr algn="ctr"/>
          <a:endParaRPr lang="en-IN" sz="1100"/>
        </a:p>
      </xdr:txBody>
    </xdr:sp>
    <xdr:clientData/>
  </xdr:twoCellAnchor>
  <xdr:twoCellAnchor>
    <xdr:from>
      <xdr:col>10</xdr:col>
      <xdr:colOff>548198</xdr:colOff>
      <xdr:row>4</xdr:row>
      <xdr:rowOff>120317</xdr:rowOff>
    </xdr:from>
    <xdr:to>
      <xdr:col>12</xdr:col>
      <xdr:colOff>427889</xdr:colOff>
      <xdr:row>6</xdr:row>
      <xdr:rowOff>130344</xdr:rowOff>
    </xdr:to>
    <xdr:sp macro="" textlink="KPI_Data!B3">
      <xdr:nvSpPr>
        <xdr:cNvPr id="4" name="Rectangle: Rounded Corners 3">
          <a:extLst>
            <a:ext uri="{FF2B5EF4-FFF2-40B4-BE49-F238E27FC236}">
              <a16:creationId xmlns:a16="http://schemas.microsoft.com/office/drawing/2014/main" id="{8D59FB50-A6A3-47A7-A22E-C7C63D79FEF2}"/>
            </a:ext>
          </a:extLst>
        </xdr:cNvPr>
        <xdr:cNvSpPr/>
      </xdr:nvSpPr>
      <xdr:spPr>
        <a:xfrm>
          <a:off x="6665663" y="850120"/>
          <a:ext cx="1103184" cy="374928"/>
        </a:xfrm>
        <a:prstGeom prst="roundRect">
          <a:avLst/>
        </a:prstGeom>
        <a:solidFill>
          <a:srgbClr val="00B0F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27400B6B-7179-4B3F-8333-665EE91F4F70}" type="TxLink">
            <a:rPr lang="en-US" sz="1100" b="1" i="0" u="none" strike="noStrike">
              <a:solidFill>
                <a:schemeClr val="bg1"/>
              </a:solidFill>
              <a:latin typeface="Calibri"/>
              <a:ea typeface="Calibri"/>
              <a:cs typeface="Calibri"/>
            </a:rPr>
            <a:pPr algn="ctr"/>
            <a:t>Books</a:t>
          </a:fld>
          <a:endParaRPr lang="en-IN" sz="1100" b="1">
            <a:solidFill>
              <a:schemeClr val="bg1"/>
            </a:solidFill>
          </a:endParaRPr>
        </a:p>
      </xdr:txBody>
    </xdr:sp>
    <xdr:clientData/>
  </xdr:twoCellAnchor>
  <xdr:twoCellAnchor>
    <xdr:from>
      <xdr:col>13</xdr:col>
      <xdr:colOff>68794</xdr:colOff>
      <xdr:row>4</xdr:row>
      <xdr:rowOff>120317</xdr:rowOff>
    </xdr:from>
    <xdr:to>
      <xdr:col>14</xdr:col>
      <xdr:colOff>558225</xdr:colOff>
      <xdr:row>6</xdr:row>
      <xdr:rowOff>130342</xdr:rowOff>
    </xdr:to>
    <xdr:sp macro="" textlink="KPI_Data!B4">
      <xdr:nvSpPr>
        <xdr:cNvPr id="6" name="Rectangle: Rounded Corners 5">
          <a:extLst>
            <a:ext uri="{FF2B5EF4-FFF2-40B4-BE49-F238E27FC236}">
              <a16:creationId xmlns:a16="http://schemas.microsoft.com/office/drawing/2014/main" id="{865B6B6A-0E99-40FF-A0C6-AFFAAF5660E4}"/>
            </a:ext>
          </a:extLst>
        </xdr:cNvPr>
        <xdr:cNvSpPr/>
      </xdr:nvSpPr>
      <xdr:spPr>
        <a:xfrm>
          <a:off x="8021498" y="850120"/>
          <a:ext cx="1101178" cy="374926"/>
        </a:xfrm>
        <a:prstGeom prst="roundRect">
          <a:avLst/>
        </a:prstGeom>
        <a:solidFill>
          <a:srgbClr val="0070C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CCB90EE5-6190-45E2-A822-629F023C0394}" type="TxLink">
            <a:rPr lang="en-US" sz="1100" b="1" i="0" u="none" strike="noStrike">
              <a:solidFill>
                <a:schemeClr val="bg1"/>
              </a:solidFill>
              <a:latin typeface="Calibri"/>
              <a:ea typeface="Calibri"/>
              <a:cs typeface="Calibri"/>
            </a:rPr>
            <a:pPr algn="ctr"/>
            <a:t>₹ 47,002.46</a:t>
          </a:fld>
          <a:endParaRPr lang="en-IN" sz="1100" b="1">
            <a:solidFill>
              <a:schemeClr val="bg1"/>
            </a:solidFill>
          </a:endParaRPr>
        </a:p>
      </xdr:txBody>
    </xdr:sp>
    <xdr:clientData/>
  </xdr:twoCellAnchor>
  <xdr:twoCellAnchor>
    <xdr:from>
      <xdr:col>8</xdr:col>
      <xdr:colOff>508094</xdr:colOff>
      <xdr:row>3</xdr:row>
      <xdr:rowOff>30077</xdr:rowOff>
    </xdr:from>
    <xdr:to>
      <xdr:col>10</xdr:col>
      <xdr:colOff>287374</xdr:colOff>
      <xdr:row>4</xdr:row>
      <xdr:rowOff>80208</xdr:rowOff>
    </xdr:to>
    <xdr:sp macro="" textlink="">
      <xdr:nvSpPr>
        <xdr:cNvPr id="10" name="TextBox 9">
          <a:extLst>
            <a:ext uri="{FF2B5EF4-FFF2-40B4-BE49-F238E27FC236}">
              <a16:creationId xmlns:a16="http://schemas.microsoft.com/office/drawing/2014/main" id="{756D68AD-FBC2-46DD-9982-96A0B7C27839}"/>
            </a:ext>
          </a:extLst>
        </xdr:cNvPr>
        <xdr:cNvSpPr txBox="1"/>
      </xdr:nvSpPr>
      <xdr:spPr>
        <a:xfrm>
          <a:off x="5402066" y="577429"/>
          <a:ext cx="1002773" cy="232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REGION</a:t>
          </a:r>
          <a:endParaRPr lang="en-IN" sz="1100" b="1"/>
        </a:p>
        <a:p>
          <a:pPr algn="ctr"/>
          <a:endParaRPr lang="en-IN" sz="1100" b="1"/>
        </a:p>
        <a:p>
          <a:pPr algn="ctr"/>
          <a:endParaRPr lang="en-IN" sz="1100" b="1"/>
        </a:p>
      </xdr:txBody>
    </xdr:sp>
    <xdr:clientData/>
  </xdr:twoCellAnchor>
  <xdr:twoCellAnchor>
    <xdr:from>
      <xdr:col>10</xdr:col>
      <xdr:colOff>520125</xdr:colOff>
      <xdr:row>3</xdr:row>
      <xdr:rowOff>30079</xdr:rowOff>
    </xdr:from>
    <xdr:to>
      <xdr:col>12</xdr:col>
      <xdr:colOff>457962</xdr:colOff>
      <xdr:row>4</xdr:row>
      <xdr:rowOff>92241</xdr:rowOff>
    </xdr:to>
    <xdr:sp macro="" textlink="">
      <xdr:nvSpPr>
        <xdr:cNvPr id="11" name="TextBox 10">
          <a:extLst>
            <a:ext uri="{FF2B5EF4-FFF2-40B4-BE49-F238E27FC236}">
              <a16:creationId xmlns:a16="http://schemas.microsoft.com/office/drawing/2014/main" id="{B622F61A-7E5F-4AA6-B050-2F5C8597EB24}"/>
            </a:ext>
          </a:extLst>
        </xdr:cNvPr>
        <xdr:cNvSpPr txBox="1"/>
      </xdr:nvSpPr>
      <xdr:spPr>
        <a:xfrm>
          <a:off x="6637590" y="577431"/>
          <a:ext cx="1161330" cy="244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PRODUCT</a:t>
          </a:r>
          <a:endParaRPr lang="en-IN" sz="1100" b="1"/>
        </a:p>
        <a:p>
          <a:pPr algn="ctr"/>
          <a:endParaRPr lang="en-IN" sz="1100"/>
        </a:p>
        <a:p>
          <a:pPr algn="ctr"/>
          <a:endParaRPr lang="en-IN" sz="1100"/>
        </a:p>
      </xdr:txBody>
    </xdr:sp>
    <xdr:clientData/>
  </xdr:twoCellAnchor>
  <xdr:twoCellAnchor>
    <xdr:from>
      <xdr:col>13</xdr:col>
      <xdr:colOff>201147</xdr:colOff>
      <xdr:row>3</xdr:row>
      <xdr:rowOff>20052</xdr:rowOff>
    </xdr:from>
    <xdr:to>
      <xdr:col>15</xdr:col>
      <xdr:colOff>36713</xdr:colOff>
      <xdr:row>4</xdr:row>
      <xdr:rowOff>64167</xdr:rowOff>
    </xdr:to>
    <xdr:sp macro="" textlink="">
      <xdr:nvSpPr>
        <xdr:cNvPr id="12" name="TextBox 11">
          <a:extLst>
            <a:ext uri="{FF2B5EF4-FFF2-40B4-BE49-F238E27FC236}">
              <a16:creationId xmlns:a16="http://schemas.microsoft.com/office/drawing/2014/main" id="{40218D9A-EC9F-41FF-A3F7-53AB0D87A0A3}"/>
            </a:ext>
          </a:extLst>
        </xdr:cNvPr>
        <xdr:cNvSpPr txBox="1"/>
      </xdr:nvSpPr>
      <xdr:spPr>
        <a:xfrm>
          <a:off x="8153851" y="567404"/>
          <a:ext cx="1059059" cy="226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 SALES</a:t>
          </a:r>
        </a:p>
        <a:p>
          <a:endParaRPr lang="en-IN" sz="1100"/>
        </a:p>
        <a:p>
          <a:endParaRPr lang="en-IN" sz="1100"/>
        </a:p>
      </xdr:txBody>
    </xdr:sp>
    <xdr:clientData/>
  </xdr:twoCellAnchor>
  <xdr:twoCellAnchor>
    <xdr:from>
      <xdr:col>2</xdr:col>
      <xdr:colOff>170447</xdr:colOff>
      <xdr:row>7</xdr:row>
      <xdr:rowOff>100262</xdr:rowOff>
    </xdr:from>
    <xdr:to>
      <xdr:col>11</xdr:col>
      <xdr:colOff>185057</xdr:colOff>
      <xdr:row>23</xdr:row>
      <xdr:rowOff>120953</xdr:rowOff>
    </xdr:to>
    <xdr:graphicFrame macro="">
      <xdr:nvGraphicFramePr>
        <xdr:cNvPr id="13" name="Chart 12">
          <a:extLst>
            <a:ext uri="{FF2B5EF4-FFF2-40B4-BE49-F238E27FC236}">
              <a16:creationId xmlns:a16="http://schemas.microsoft.com/office/drawing/2014/main" id="{A1093CDC-C5F3-4CF8-A523-C05CF68BB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293914</xdr:colOff>
      <xdr:row>7</xdr:row>
      <xdr:rowOff>97971</xdr:rowOff>
    </xdr:from>
    <xdr:to>
      <xdr:col>19</xdr:col>
      <xdr:colOff>484909</xdr:colOff>
      <xdr:row>23</xdr:row>
      <xdr:rowOff>119743</xdr:rowOff>
    </xdr:to>
    <xdr:graphicFrame macro="">
      <xdr:nvGraphicFramePr>
        <xdr:cNvPr id="14" name="Chart 13">
          <a:extLst>
            <a:ext uri="{FF2B5EF4-FFF2-40B4-BE49-F238E27FC236}">
              <a16:creationId xmlns:a16="http://schemas.microsoft.com/office/drawing/2014/main" id="{04AEC1AC-0AA9-4C55-BAD5-5FBD08397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174171</xdr:colOff>
      <xdr:row>24</xdr:row>
      <xdr:rowOff>87086</xdr:rowOff>
    </xdr:from>
    <xdr:to>
      <xdr:col>11</xdr:col>
      <xdr:colOff>195944</xdr:colOff>
      <xdr:row>36</xdr:row>
      <xdr:rowOff>57177</xdr:rowOff>
    </xdr:to>
    <xdr:graphicFrame macro="">
      <xdr:nvGraphicFramePr>
        <xdr:cNvPr id="15" name="Chart 14">
          <a:extLst>
            <a:ext uri="{FF2B5EF4-FFF2-40B4-BE49-F238E27FC236}">
              <a16:creationId xmlns:a16="http://schemas.microsoft.com/office/drawing/2014/main" id="{886B0D68-F3CD-47FE-9091-B1C72F3A2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304799</xdr:colOff>
      <xdr:row>24</xdr:row>
      <xdr:rowOff>65314</xdr:rowOff>
    </xdr:from>
    <xdr:to>
      <xdr:col>19</xdr:col>
      <xdr:colOff>489857</xdr:colOff>
      <xdr:row>36</xdr:row>
      <xdr:rowOff>76200</xdr:rowOff>
    </xdr:to>
    <xdr:graphicFrame macro="">
      <xdr:nvGraphicFramePr>
        <xdr:cNvPr id="16" name="Chart 15">
          <a:extLst>
            <a:ext uri="{FF2B5EF4-FFF2-40B4-BE49-F238E27FC236}">
              <a16:creationId xmlns:a16="http://schemas.microsoft.com/office/drawing/2014/main" id="{BEFB3A2F-2F9F-4159-A919-0DFAA742B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310054</xdr:colOff>
      <xdr:row>0</xdr:row>
      <xdr:rowOff>15677</xdr:rowOff>
    </xdr:from>
    <xdr:ext cx="9281468" cy="561949"/>
    <xdr:sp macro="" textlink="">
      <xdr:nvSpPr>
        <xdr:cNvPr id="18" name="Rectangle 17">
          <a:extLst>
            <a:ext uri="{FF2B5EF4-FFF2-40B4-BE49-F238E27FC236}">
              <a16:creationId xmlns:a16="http://schemas.microsoft.com/office/drawing/2014/main" id="{73701505-CF8B-6E0F-8EBA-B72B2A973464}"/>
            </a:ext>
          </a:extLst>
        </xdr:cNvPr>
        <xdr:cNvSpPr/>
      </xdr:nvSpPr>
      <xdr:spPr>
        <a:xfrm>
          <a:off x="917445" y="15677"/>
          <a:ext cx="9281468" cy="561949"/>
        </a:xfrm>
        <a:prstGeom prst="rect">
          <a:avLst/>
        </a:prstGeom>
        <a:noFill/>
      </xdr:spPr>
      <xdr:txBody>
        <a:bodyPr wrap="square" lIns="91440" tIns="45720" rIns="91440" bIns="45720" anchor="ctr">
          <a:spAutoFit/>
        </a:bodyPr>
        <a:lstStyle/>
        <a:p>
          <a:pPr algn="ctr"/>
          <a:r>
            <a:rPr lang="en-US" sz="3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AURATECH ENTERPRISES Sales Performance Dashboard</a:t>
          </a:r>
          <a:endParaRPr lang="en-US" sz="3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editAs="oneCell">
    <xdr:from>
      <xdr:col>0</xdr:col>
      <xdr:colOff>24190</xdr:colOff>
      <xdr:row>12</xdr:row>
      <xdr:rowOff>156509</xdr:rowOff>
    </xdr:from>
    <xdr:to>
      <xdr:col>2</xdr:col>
      <xdr:colOff>12095</xdr:colOff>
      <xdr:row>21</xdr:row>
      <xdr:rowOff>157235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799DABC2-9225-D4B4-58FF-7B55425967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190" y="2333652"/>
              <a:ext cx="1197429" cy="163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7620</xdr:rowOff>
    </xdr:from>
    <xdr:to>
      <xdr:col>2</xdr:col>
      <xdr:colOff>0</xdr:colOff>
      <xdr:row>12</xdr:row>
      <xdr:rowOff>72572</xdr:rowOff>
    </xdr:to>
    <mc:AlternateContent xmlns:mc="http://schemas.openxmlformats.org/markup-compatibility/2006" xmlns:a14="http://schemas.microsoft.com/office/drawing/2010/main">
      <mc:Choice Requires="a14">
        <xdr:graphicFrame macro="">
          <xdr:nvGraphicFramePr>
            <xdr:cNvPr id="20" name="Product_Category">
              <a:extLst>
                <a:ext uri="{FF2B5EF4-FFF2-40B4-BE49-F238E27FC236}">
                  <a16:creationId xmlns:a16="http://schemas.microsoft.com/office/drawing/2014/main" id="{E9B2861B-49B9-557B-3BAE-9B4F7E060BF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551906"/>
              <a:ext cx="1209524" cy="1697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423334</xdr:colOff>
      <xdr:row>0</xdr:row>
      <xdr:rowOff>0</xdr:rowOff>
    </xdr:from>
    <xdr:to>
      <xdr:col>21</xdr:col>
      <xdr:colOff>592667</xdr:colOff>
      <xdr:row>7</xdr:row>
      <xdr:rowOff>60476</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D4A999C-C949-6040-D8D0-C686F77ED72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099524" y="0"/>
              <a:ext cx="3193143" cy="13304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0</xdr:row>
      <xdr:rowOff>0</xdr:rowOff>
    </xdr:from>
    <xdr:to>
      <xdr:col>1</xdr:col>
      <xdr:colOff>408609</xdr:colOff>
      <xdr:row>3</xdr:row>
      <xdr:rowOff>0</xdr:rowOff>
    </xdr:to>
    <xdr:pic>
      <xdr:nvPicPr>
        <xdr:cNvPr id="9" name="Picture 8">
          <a:extLst>
            <a:ext uri="{FF2B5EF4-FFF2-40B4-BE49-F238E27FC236}">
              <a16:creationId xmlns:a16="http://schemas.microsoft.com/office/drawing/2014/main" id="{13F40019-EFC7-7383-845C-E355510601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1016000" cy="563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601980</xdr:colOff>
      <xdr:row>7</xdr:row>
      <xdr:rowOff>11430</xdr:rowOff>
    </xdr:from>
    <xdr:to>
      <xdr:col>18</xdr:col>
      <xdr:colOff>7620</xdr:colOff>
      <xdr:row>25</xdr:row>
      <xdr:rowOff>7620</xdr:rowOff>
    </xdr:to>
    <xdr:graphicFrame macro="">
      <xdr:nvGraphicFramePr>
        <xdr:cNvPr id="2" name="Chart 1">
          <a:extLst>
            <a:ext uri="{FF2B5EF4-FFF2-40B4-BE49-F238E27FC236}">
              <a16:creationId xmlns:a16="http://schemas.microsoft.com/office/drawing/2014/main" id="{65DA30B6-06CA-BE57-2BEF-6D90A3DEF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609599</xdr:colOff>
      <xdr:row>7</xdr:row>
      <xdr:rowOff>171450</xdr:rowOff>
    </xdr:from>
    <xdr:to>
      <xdr:col>18</xdr:col>
      <xdr:colOff>28574</xdr:colOff>
      <xdr:row>28</xdr:row>
      <xdr:rowOff>161924</xdr:rowOff>
    </xdr:to>
    <xdr:graphicFrame macro="">
      <xdr:nvGraphicFramePr>
        <xdr:cNvPr id="2" name="Chart 1">
          <a:extLst>
            <a:ext uri="{FF2B5EF4-FFF2-40B4-BE49-F238E27FC236}">
              <a16:creationId xmlns:a16="http://schemas.microsoft.com/office/drawing/2014/main" id="{EADBD16C-99AB-10A9-78A5-D6DC5FCAC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4</xdr:row>
      <xdr:rowOff>167640</xdr:rowOff>
    </xdr:from>
    <xdr:to>
      <xdr:col>15</xdr:col>
      <xdr:colOff>0</xdr:colOff>
      <xdr:row>22</xdr:row>
      <xdr:rowOff>7620</xdr:rowOff>
    </xdr:to>
    <xdr:graphicFrame macro="">
      <xdr:nvGraphicFramePr>
        <xdr:cNvPr id="2" name="Chart 1">
          <a:extLst>
            <a:ext uri="{FF2B5EF4-FFF2-40B4-BE49-F238E27FC236}">
              <a16:creationId xmlns:a16="http://schemas.microsoft.com/office/drawing/2014/main" id="{28B11E9E-901C-42B6-90C3-E28057B9A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xdr:colOff>
      <xdr:row>5</xdr:row>
      <xdr:rowOff>167640</xdr:rowOff>
    </xdr:from>
    <xdr:to>
      <xdr:col>14</xdr:col>
      <xdr:colOff>594360</xdr:colOff>
      <xdr:row>22</xdr:row>
      <xdr:rowOff>7620</xdr:rowOff>
    </xdr:to>
    <xdr:graphicFrame macro="">
      <xdr:nvGraphicFramePr>
        <xdr:cNvPr id="2" name="Chart 1">
          <a:extLst>
            <a:ext uri="{FF2B5EF4-FFF2-40B4-BE49-F238E27FC236}">
              <a16:creationId xmlns:a16="http://schemas.microsoft.com/office/drawing/2014/main" id="{AE209BAC-CC14-C57F-AF7C-6134CC503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5.617664120371" createdVersion="8" refreshedVersion="8" minRefreshableVersion="3" recordCount="200" xr:uid="{2DF0C768-846D-4CDA-952D-8FBD6A4CCCEB}">
  <cacheSource type="worksheet">
    <worksheetSource name="Table1"/>
  </cacheSource>
  <cacheFields count="14">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acheField>
    <cacheField name="Total Customer Sales" numFmtId="0">
      <sharedItems containsSemiMixedTypes="0" containsString="0" containsNumber="1" minValue="856.7" maxValue="20774.739999999998"/>
    </cacheField>
    <cacheField name="Month" numFmtId="0">
      <sharedItems count="25">
        <s v="Apr-2024"/>
        <s v="May-2024"/>
        <s v="Jun-2024"/>
        <s v="Jul-2024"/>
        <s v="Aug-2024"/>
        <s v="Sep-2024"/>
        <s v="Oct-2024"/>
        <s v="Nov-2024"/>
        <s v="Dec-2024"/>
        <s v="Jan-2025"/>
        <s v="Feb-2025"/>
        <s v="Mar-2025"/>
        <s v="Apr-2025"/>
        <s v="Apr" u="1"/>
        <s v="May" u="1"/>
        <s v="Jun" u="1"/>
        <s v="Jul" u="1"/>
        <s v="Aug" u="1"/>
        <s v="Sep" u="1"/>
        <s v="Oct" u="1"/>
        <s v="Nov" u="1"/>
        <s v="Dec" u="1"/>
        <s v="Jan" u="1"/>
        <s v="Feb" u="1"/>
        <s v="Mar" u="1"/>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2365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n v="6255.7"/>
    <x v="0"/>
  </r>
  <r>
    <s v="CUST012"/>
    <s v="Robert Anderson"/>
    <x v="0"/>
    <x v="1"/>
    <n v="1101.28"/>
    <n v="3"/>
    <n v="0.2"/>
    <x v="1"/>
    <n v="440.51"/>
    <n v="8331.8499999999985"/>
    <x v="0"/>
  </r>
  <r>
    <s v="CUST017"/>
    <s v="James Taylor"/>
    <x v="1"/>
    <x v="0"/>
    <n v="713.34"/>
    <n v="17"/>
    <n v="0"/>
    <x v="2"/>
    <n v="285.33999999999997"/>
    <n v="5615.2800000000007"/>
    <x v="0"/>
  </r>
  <r>
    <s v="CUST005"/>
    <s v="Robert Anderson"/>
    <x v="2"/>
    <x v="2"/>
    <n v="760.93"/>
    <n v="4"/>
    <n v="0.15"/>
    <x v="2"/>
    <n v="161.69999999999999"/>
    <n v="8331.8499999999985"/>
    <x v="0"/>
  </r>
  <r>
    <s v="CUST030"/>
    <s v="James Wilson"/>
    <x v="3"/>
    <x v="0"/>
    <n v="847"/>
    <n v="12"/>
    <n v="0.2"/>
    <x v="3"/>
    <n v="271.04000000000002"/>
    <n v="20774.739999999998"/>
    <x v="0"/>
  </r>
  <r>
    <s v="CUST007"/>
    <s v="Michael Anderson"/>
    <x v="3"/>
    <x v="3"/>
    <n v="965.64"/>
    <n v="8"/>
    <n v="0.1"/>
    <x v="4"/>
    <n v="304.18"/>
    <n v="7881.9"/>
    <x v="0"/>
  </r>
  <r>
    <s v="CUST001"/>
    <s v="Linda Wilson"/>
    <x v="0"/>
    <x v="2"/>
    <n v="1317.53"/>
    <n v="12"/>
    <n v="0.05"/>
    <x v="4"/>
    <n v="312.91000000000003"/>
    <n v="9970.1999999999989"/>
    <x v="0"/>
  </r>
  <r>
    <s v="CUST026"/>
    <s v="Mary Davis"/>
    <x v="1"/>
    <x v="3"/>
    <n v="1074.47"/>
    <n v="6"/>
    <n v="0.2"/>
    <x v="5"/>
    <n v="300.85000000000002"/>
    <n v="17143.289999999997"/>
    <x v="0"/>
  </r>
  <r>
    <s v="CUST009"/>
    <s v="Linda Jackson"/>
    <x v="4"/>
    <x v="0"/>
    <n v="501.54"/>
    <n v="11"/>
    <n v="0.05"/>
    <x v="5"/>
    <n v="190.59"/>
    <n v="3968.59"/>
    <x v="0"/>
  </r>
  <r>
    <s v="CUST010"/>
    <s v="David Thomas"/>
    <x v="4"/>
    <x v="1"/>
    <n v="737.31"/>
    <n v="2"/>
    <n v="0.05"/>
    <x v="5"/>
    <n v="350.22"/>
    <n v="7020.3799999999992"/>
    <x v="0"/>
  </r>
  <r>
    <s v="CUST014"/>
    <s v="Emma Davis"/>
    <x v="0"/>
    <x v="4"/>
    <n v="1572.82"/>
    <n v="6"/>
    <n v="0.05"/>
    <x v="6"/>
    <n v="672.38"/>
    <n v="11398.32"/>
    <x v="0"/>
  </r>
  <r>
    <s v="CUST014"/>
    <s v="David Thomas"/>
    <x v="4"/>
    <x v="0"/>
    <n v="1343.13"/>
    <n v="14"/>
    <n v="0.15"/>
    <x v="7"/>
    <n v="456.66"/>
    <n v="7020.3799999999992"/>
    <x v="0"/>
  </r>
  <r>
    <s v="CUST007"/>
    <s v="Michael Anderson"/>
    <x v="4"/>
    <x v="0"/>
    <n v="1191.58"/>
    <n v="14"/>
    <n v="0.05"/>
    <x v="8"/>
    <n v="452.8"/>
    <n v="7881.9"/>
    <x v="0"/>
  </r>
  <r>
    <s v="CUST023"/>
    <s v="Robert Anderson"/>
    <x v="0"/>
    <x v="3"/>
    <n v="822.28"/>
    <n v="7"/>
    <n v="0.05"/>
    <x v="8"/>
    <n v="273.41000000000003"/>
    <n v="8331.8499999999985"/>
    <x v="0"/>
  </r>
  <r>
    <s v="CUST029"/>
    <s v="David Smith"/>
    <x v="3"/>
    <x v="3"/>
    <n v="521.66999999999996"/>
    <n v="15"/>
    <n v="0.15"/>
    <x v="9"/>
    <n v="155.19999999999999"/>
    <n v="1672.88"/>
    <x v="0"/>
  </r>
  <r>
    <s v="CUST005"/>
    <s v="Sarah Anderson"/>
    <x v="2"/>
    <x v="2"/>
    <n v="1502.93"/>
    <n v="14"/>
    <n v="0.2"/>
    <x v="10"/>
    <n v="300.58999999999997"/>
    <n v="7296.1900000000005"/>
    <x v="0"/>
  </r>
  <r>
    <s v="CUST008"/>
    <s v="Robert Anderson"/>
    <x v="2"/>
    <x v="0"/>
    <n v="877.58"/>
    <n v="10"/>
    <n v="0.15"/>
    <x v="11"/>
    <n v="298.38"/>
    <n v="8331.8499999999985"/>
    <x v="0"/>
  </r>
  <r>
    <s v="CUST001"/>
    <s v="Lisa Thomas"/>
    <x v="0"/>
    <x v="0"/>
    <n v="636.70000000000005"/>
    <n v="4"/>
    <n v="0.2"/>
    <x v="11"/>
    <n v="203.74"/>
    <n v="8635.9500000000007"/>
    <x v="0"/>
  </r>
  <r>
    <s v="CUST006"/>
    <s v="Mary Jackson"/>
    <x v="0"/>
    <x v="0"/>
    <n v="1506.14"/>
    <n v="13"/>
    <n v="0.2"/>
    <x v="12"/>
    <n v="481.96"/>
    <n v="7251.18"/>
    <x v="0"/>
  </r>
  <r>
    <s v="CUST026"/>
    <s v="Mary Davis"/>
    <x v="4"/>
    <x v="2"/>
    <n v="645.02"/>
    <n v="4"/>
    <n v="0"/>
    <x v="13"/>
    <n v="161.26"/>
    <n v="17143.289999999997"/>
    <x v="1"/>
  </r>
  <r>
    <s v="CUST007"/>
    <s v="Lisa Davis"/>
    <x v="2"/>
    <x v="1"/>
    <n v="953.3"/>
    <n v="11"/>
    <n v="0"/>
    <x v="14"/>
    <n v="476.65"/>
    <n v="8090.12"/>
    <x v="1"/>
  </r>
  <r>
    <s v="CUST022"/>
    <s v="Robert Anderson"/>
    <x v="3"/>
    <x v="2"/>
    <n v="388.56"/>
    <n v="14"/>
    <n v="0.15"/>
    <x v="15"/>
    <n v="82.57"/>
    <n v="8331.8499999999985"/>
    <x v="1"/>
  </r>
  <r>
    <s v="CUST019"/>
    <s v="Mary Davis"/>
    <x v="0"/>
    <x v="0"/>
    <n v="743.17"/>
    <n v="9"/>
    <n v="0"/>
    <x v="15"/>
    <n v="297.27"/>
    <n v="17143.289999999997"/>
    <x v="1"/>
  </r>
  <r>
    <s v="CUST023"/>
    <s v="Mary Davis"/>
    <x v="4"/>
    <x v="2"/>
    <n v="706.37"/>
    <n v="6"/>
    <n v="0"/>
    <x v="15"/>
    <n v="176.59"/>
    <n v="17143.289999999997"/>
    <x v="1"/>
  </r>
  <r>
    <s v="CUST012"/>
    <s v="Mary Davis"/>
    <x v="4"/>
    <x v="4"/>
    <n v="925.31"/>
    <n v="8"/>
    <n v="0.1"/>
    <x v="16"/>
    <n v="374.75"/>
    <n v="17143.289999999997"/>
    <x v="1"/>
  </r>
  <r>
    <s v="CUST010"/>
    <s v="Linda Brown"/>
    <x v="2"/>
    <x v="2"/>
    <n v="1173.1199999999999"/>
    <n v="18"/>
    <n v="0"/>
    <x v="16"/>
    <n v="293.27999999999997"/>
    <n v="5801.29"/>
    <x v="1"/>
  </r>
  <r>
    <s v="CUST030"/>
    <s v="John Brown"/>
    <x v="3"/>
    <x v="3"/>
    <n v="675.54"/>
    <n v="17"/>
    <n v="0"/>
    <x v="17"/>
    <n v="236.44"/>
    <n v="1450.99"/>
    <x v="1"/>
  </r>
  <r>
    <s v="CUST007"/>
    <s v="Robert Anderson"/>
    <x v="4"/>
    <x v="0"/>
    <n v="939.09"/>
    <n v="2"/>
    <n v="0.05"/>
    <x v="18"/>
    <n v="356.85"/>
    <n v="8331.8499999999985"/>
    <x v="1"/>
  </r>
  <r>
    <s v="CUST028"/>
    <s v="Linda Taylor"/>
    <x v="1"/>
    <x v="4"/>
    <n v="983.34"/>
    <n v="19"/>
    <n v="0.1"/>
    <x v="19"/>
    <n v="398.25"/>
    <n v="7522.77"/>
    <x v="1"/>
  </r>
  <r>
    <s v="CUST028"/>
    <s v="James Wilson"/>
    <x v="2"/>
    <x v="2"/>
    <n v="801.21"/>
    <n v="3"/>
    <n v="0.2"/>
    <x v="19"/>
    <n v="160.24"/>
    <n v="20774.739999999998"/>
    <x v="1"/>
  </r>
  <r>
    <s v="CUST025"/>
    <s v="David Brown"/>
    <x v="3"/>
    <x v="2"/>
    <n v="1450.71"/>
    <n v="5"/>
    <n v="0.1"/>
    <x v="20"/>
    <n v="326.41000000000003"/>
    <n v="11915.829999999998"/>
    <x v="1"/>
  </r>
  <r>
    <s v="CUST022"/>
    <s v="David Davis"/>
    <x v="4"/>
    <x v="0"/>
    <n v="1023.21"/>
    <n v="18"/>
    <n v="0.05"/>
    <x v="21"/>
    <n v="388.82"/>
    <n v="3819.1400000000003"/>
    <x v="1"/>
  </r>
  <r>
    <s v="CUST001"/>
    <s v="Mary Jackson"/>
    <x v="0"/>
    <x v="3"/>
    <n v="853.72"/>
    <n v="5"/>
    <n v="0.15"/>
    <x v="21"/>
    <n v="253.98"/>
    <n v="7251.18"/>
    <x v="1"/>
  </r>
  <r>
    <s v="CUST021"/>
    <s v="Sarah Anderson"/>
    <x v="2"/>
    <x v="2"/>
    <n v="967.89"/>
    <n v="10"/>
    <n v="0.1"/>
    <x v="22"/>
    <n v="217.78"/>
    <n v="7296.1900000000005"/>
    <x v="1"/>
  </r>
  <r>
    <s v="CUST015"/>
    <s v="Linda Taylor"/>
    <x v="3"/>
    <x v="4"/>
    <n v="1200.9000000000001"/>
    <n v="14"/>
    <n v="0.05"/>
    <x v="22"/>
    <n v="513.38"/>
    <n v="7522.77"/>
    <x v="1"/>
  </r>
  <r>
    <s v="CUST012"/>
    <s v="Michael Anderson"/>
    <x v="0"/>
    <x v="0"/>
    <n v="472.38"/>
    <n v="12"/>
    <n v="0.2"/>
    <x v="22"/>
    <n v="151.16"/>
    <n v="7881.9"/>
    <x v="1"/>
  </r>
  <r>
    <s v="CUST019"/>
    <s v="David Brown"/>
    <x v="1"/>
    <x v="4"/>
    <n v="840.92"/>
    <n v="9"/>
    <n v="0.05"/>
    <x v="22"/>
    <n v="359.49"/>
    <n v="11915.829999999998"/>
    <x v="1"/>
  </r>
  <r>
    <s v="CUST028"/>
    <s v="Lisa Davis"/>
    <x v="4"/>
    <x v="3"/>
    <n v="1410.06"/>
    <n v="11"/>
    <n v="0.05"/>
    <x v="23"/>
    <n v="468.84"/>
    <n v="8090.12"/>
    <x v="1"/>
  </r>
  <r>
    <s v="CUST008"/>
    <s v="Mary Wilson"/>
    <x v="4"/>
    <x v="3"/>
    <n v="773.09"/>
    <n v="13"/>
    <n v="0.15"/>
    <x v="23"/>
    <n v="229.99"/>
    <n v="5443.34"/>
    <x v="1"/>
  </r>
  <r>
    <s v="CUST016"/>
    <s v="Emma Wilson"/>
    <x v="1"/>
    <x v="0"/>
    <n v="580.42999999999995"/>
    <n v="19"/>
    <n v="0.15"/>
    <x v="24"/>
    <n v="197.35"/>
    <n v="8543.9699999999993"/>
    <x v="1"/>
  </r>
  <r>
    <s v="CUST005"/>
    <s v="David Smith"/>
    <x v="2"/>
    <x v="0"/>
    <n v="1151.21"/>
    <n v="15"/>
    <n v="0.1"/>
    <x v="25"/>
    <n v="414.44"/>
    <n v="1672.88"/>
    <x v="2"/>
  </r>
  <r>
    <s v="CUST028"/>
    <s v="James Wilson"/>
    <x v="4"/>
    <x v="4"/>
    <n v="1025.98"/>
    <n v="5"/>
    <n v="0.2"/>
    <x v="26"/>
    <n v="369.35"/>
    <n v="20774.739999999998"/>
    <x v="2"/>
  </r>
  <r>
    <s v="CUST023"/>
    <s v="David Davis"/>
    <x v="1"/>
    <x v="4"/>
    <n v="556.41999999999996"/>
    <n v="11"/>
    <n v="0.15"/>
    <x v="26"/>
    <n v="212.83"/>
    <n v="3819.1400000000003"/>
    <x v="2"/>
  </r>
  <r>
    <s v="CUST021"/>
    <s v="James Wilson"/>
    <x v="4"/>
    <x v="0"/>
    <n v="840.85"/>
    <n v="19"/>
    <n v="0.1"/>
    <x v="27"/>
    <n v="302.70999999999998"/>
    <n v="20774.739999999998"/>
    <x v="2"/>
  </r>
  <r>
    <s v="CUST026"/>
    <s v="Emma Wilson"/>
    <x v="3"/>
    <x v="3"/>
    <n v="1227.25"/>
    <n v="12"/>
    <n v="0.15"/>
    <x v="27"/>
    <n v="365.11"/>
    <n v="8543.9699999999993"/>
    <x v="2"/>
  </r>
  <r>
    <s v="CUST017"/>
    <s v="Linda Davis"/>
    <x v="4"/>
    <x v="2"/>
    <n v="856.7"/>
    <n v="2"/>
    <n v="0"/>
    <x v="28"/>
    <n v="214.18"/>
    <n v="856.7"/>
    <x v="2"/>
  </r>
  <r>
    <s v="CUST025"/>
    <s v="David Davis"/>
    <x v="4"/>
    <x v="4"/>
    <n v="1225.42"/>
    <n v="8"/>
    <n v="0.15"/>
    <x v="28"/>
    <n v="468.72"/>
    <n v="3819.1400000000003"/>
    <x v="2"/>
  </r>
  <r>
    <s v="CUST011"/>
    <s v="Mary Davis"/>
    <x v="3"/>
    <x v="4"/>
    <n v="1001.57"/>
    <n v="12"/>
    <n v="0"/>
    <x v="29"/>
    <n v="450.71"/>
    <n v="17143.289999999997"/>
    <x v="2"/>
  </r>
  <r>
    <s v="CUST021"/>
    <s v="Michael Anderson"/>
    <x v="1"/>
    <x v="3"/>
    <n v="1186.8499999999999"/>
    <n v="19"/>
    <n v="0.2"/>
    <x v="30"/>
    <n v="332.32"/>
    <n v="7881.9"/>
    <x v="2"/>
  </r>
  <r>
    <s v="CUST008"/>
    <s v="John Brown"/>
    <x v="2"/>
    <x v="2"/>
    <n v="775.45"/>
    <n v="6"/>
    <n v="0.1"/>
    <x v="31"/>
    <n v="174.48"/>
    <n v="1450.99"/>
    <x v="2"/>
  </r>
  <r>
    <s v="CUST007"/>
    <s v="Linda Jackson"/>
    <x v="2"/>
    <x v="2"/>
    <n v="1021.47"/>
    <n v="6"/>
    <n v="0.05"/>
    <x v="32"/>
    <n v="242.6"/>
    <n v="3968.59"/>
    <x v="2"/>
  </r>
  <r>
    <s v="CUST015"/>
    <s v="James Wilson"/>
    <x v="2"/>
    <x v="1"/>
    <n v="1226.6199999999999"/>
    <n v="7"/>
    <n v="0.1"/>
    <x v="33"/>
    <n v="551.98"/>
    <n v="20774.739999999998"/>
    <x v="2"/>
  </r>
  <r>
    <s v="CUST030"/>
    <s v="Sarah Davis"/>
    <x v="2"/>
    <x v="3"/>
    <n v="1086.93"/>
    <n v="2"/>
    <n v="0"/>
    <x v="34"/>
    <n v="380.43"/>
    <n v="5771.59"/>
    <x v="2"/>
  </r>
  <r>
    <s v="CUST002"/>
    <s v="Lisa Davis"/>
    <x v="0"/>
    <x v="0"/>
    <n v="942.9"/>
    <n v="18"/>
    <n v="0.1"/>
    <x v="35"/>
    <n v="339.44"/>
    <n v="8090.12"/>
    <x v="2"/>
  </r>
  <r>
    <s v="CUST009"/>
    <s v="Emma Davis"/>
    <x v="3"/>
    <x v="2"/>
    <n v="818.8"/>
    <n v="15"/>
    <n v="0.15"/>
    <x v="36"/>
    <n v="173.99"/>
    <n v="11398.32"/>
    <x v="2"/>
  </r>
  <r>
    <s v="CUST005"/>
    <s v="Robert Anderson"/>
    <x v="2"/>
    <x v="3"/>
    <n v="919.04"/>
    <n v="10"/>
    <n v="0.2"/>
    <x v="36"/>
    <n v="257.33"/>
    <n v="8331.8499999999985"/>
    <x v="2"/>
  </r>
  <r>
    <s v="CUST030"/>
    <s v="Emma Taylor"/>
    <x v="4"/>
    <x v="0"/>
    <n v="973.26"/>
    <n v="11"/>
    <n v="0"/>
    <x v="37"/>
    <n v="389.3"/>
    <n v="5014.96"/>
    <x v="2"/>
  </r>
  <r>
    <s v="CUST029"/>
    <s v="Sarah Davis"/>
    <x v="3"/>
    <x v="2"/>
    <n v="741.61"/>
    <n v="1"/>
    <n v="0.2"/>
    <x v="38"/>
    <n v="148.32"/>
    <n v="5771.59"/>
    <x v="2"/>
  </r>
  <r>
    <s v="CUST003"/>
    <s v="Emma Davis"/>
    <x v="3"/>
    <x v="0"/>
    <n v="1248.82"/>
    <n v="2"/>
    <n v="0.1"/>
    <x v="39"/>
    <n v="449.58"/>
    <n v="11398.32"/>
    <x v="2"/>
  </r>
  <r>
    <s v="CUST012"/>
    <s v="Mary Wilson"/>
    <x v="0"/>
    <x v="1"/>
    <n v="1360.36"/>
    <n v="17"/>
    <n v="0"/>
    <x v="39"/>
    <n v="680.18"/>
    <n v="5443.34"/>
    <x v="2"/>
  </r>
  <r>
    <s v="CUST021"/>
    <s v="Mary Davis"/>
    <x v="1"/>
    <x v="0"/>
    <n v="1383.3"/>
    <n v="8"/>
    <n v="0.1"/>
    <x v="40"/>
    <n v="497.99"/>
    <n v="17143.289999999997"/>
    <x v="3"/>
  </r>
  <r>
    <s v="CUST010"/>
    <s v="David Brown"/>
    <x v="4"/>
    <x v="4"/>
    <n v="488.99"/>
    <n v="9"/>
    <n v="0"/>
    <x v="41"/>
    <n v="220.05"/>
    <n v="11915.829999999998"/>
    <x v="3"/>
  </r>
  <r>
    <s v="CUST026"/>
    <s v="Mary Davis"/>
    <x v="1"/>
    <x v="3"/>
    <n v="933.71"/>
    <n v="17"/>
    <n v="0.1"/>
    <x v="42"/>
    <n v="294.12"/>
    <n v="17143.289999999997"/>
    <x v="3"/>
  </r>
  <r>
    <s v="CUST003"/>
    <s v="James Davis"/>
    <x v="0"/>
    <x v="2"/>
    <n v="1005.53"/>
    <n v="17"/>
    <n v="0.2"/>
    <x v="42"/>
    <n v="201.11"/>
    <n v="6255.7"/>
    <x v="3"/>
  </r>
  <r>
    <s v="CUST029"/>
    <s v="Emma Wilson"/>
    <x v="2"/>
    <x v="2"/>
    <n v="1100.0999999999999"/>
    <n v="5"/>
    <n v="0.05"/>
    <x v="43"/>
    <n v="261.27"/>
    <n v="8543.9699999999993"/>
    <x v="3"/>
  </r>
  <r>
    <s v="CUST003"/>
    <s v="James Wilson"/>
    <x v="3"/>
    <x v="3"/>
    <n v="1034.7"/>
    <n v="15"/>
    <n v="0.15"/>
    <x v="44"/>
    <n v="307.82"/>
    <n v="20774.739999999998"/>
    <x v="3"/>
  </r>
  <r>
    <s v="CUST002"/>
    <s v="Mary Davis"/>
    <x v="2"/>
    <x v="0"/>
    <n v="876.44"/>
    <n v="12"/>
    <n v="0.05"/>
    <x v="45"/>
    <n v="333.05"/>
    <n v="17143.289999999997"/>
    <x v="3"/>
  </r>
  <r>
    <s v="CUST020"/>
    <s v="David Brown"/>
    <x v="0"/>
    <x v="3"/>
    <n v="1371.34"/>
    <n v="5"/>
    <n v="0.05"/>
    <x v="45"/>
    <n v="455.97"/>
    <n v="11915.829999999998"/>
    <x v="3"/>
  </r>
  <r>
    <s v="CUST021"/>
    <s v="Mary Jackson"/>
    <x v="3"/>
    <x v="2"/>
    <n v="1020.26"/>
    <n v="11"/>
    <n v="0.05"/>
    <x v="46"/>
    <n v="242.31"/>
    <n v="7251.18"/>
    <x v="3"/>
  </r>
  <r>
    <s v="CUST008"/>
    <s v="James Davis"/>
    <x v="4"/>
    <x v="4"/>
    <n v="804.81"/>
    <n v="1"/>
    <n v="0.05"/>
    <x v="47"/>
    <n v="344.06"/>
    <n v="6255.7"/>
    <x v="3"/>
  </r>
  <r>
    <s v="CUST030"/>
    <s v="David Brown"/>
    <x v="4"/>
    <x v="2"/>
    <n v="608.66"/>
    <n v="1"/>
    <n v="0.05"/>
    <x v="48"/>
    <n v="144.56"/>
    <n v="11915.829999999998"/>
    <x v="3"/>
  </r>
  <r>
    <s v="CUST020"/>
    <s v="Linda Moore"/>
    <x v="2"/>
    <x v="4"/>
    <n v="981.2"/>
    <n v="19"/>
    <n v="0"/>
    <x v="49"/>
    <n v="441.54"/>
    <n v="2304.9"/>
    <x v="3"/>
  </r>
  <r>
    <s v="CUST024"/>
    <s v="David Brown"/>
    <x v="1"/>
    <x v="2"/>
    <n v="539.77"/>
    <n v="10"/>
    <n v="0.15"/>
    <x v="50"/>
    <n v="114.7"/>
    <n v="11915.829999999998"/>
    <x v="4"/>
  </r>
  <r>
    <s v="CUST012"/>
    <s v="David Anderson"/>
    <x v="2"/>
    <x v="0"/>
    <n v="804.45"/>
    <n v="5"/>
    <n v="0.2"/>
    <x v="50"/>
    <n v="257.42"/>
    <n v="5465.71"/>
    <x v="4"/>
  </r>
  <r>
    <s v="CUST024"/>
    <s v="Emma Davis"/>
    <x v="0"/>
    <x v="2"/>
    <n v="1526.6"/>
    <n v="13"/>
    <n v="0.2"/>
    <x v="51"/>
    <n v="305.32"/>
    <n v="11398.32"/>
    <x v="4"/>
  </r>
  <r>
    <s v="CUST012"/>
    <s v="Linda Wilson"/>
    <x v="0"/>
    <x v="2"/>
    <n v="1215.26"/>
    <n v="5"/>
    <n v="0.15"/>
    <x v="52"/>
    <n v="258.24"/>
    <n v="9970.1999999999989"/>
    <x v="4"/>
  </r>
  <r>
    <s v="CUST005"/>
    <s v="Linda Taylor"/>
    <x v="4"/>
    <x v="3"/>
    <n v="1261.3399999999999"/>
    <n v="3"/>
    <n v="0"/>
    <x v="53"/>
    <n v="441.47"/>
    <n v="7522.77"/>
    <x v="4"/>
  </r>
  <r>
    <s v="CUST004"/>
    <s v="Lisa Thomas"/>
    <x v="3"/>
    <x v="3"/>
    <n v="518.07000000000005"/>
    <n v="7"/>
    <n v="0.05"/>
    <x v="54"/>
    <n v="172.26"/>
    <n v="8635.9500000000007"/>
    <x v="4"/>
  </r>
  <r>
    <s v="CUST026"/>
    <s v="Linda Wilson"/>
    <x v="0"/>
    <x v="4"/>
    <n v="1111.3399999999999"/>
    <n v="1"/>
    <n v="0"/>
    <x v="55"/>
    <n v="500.1"/>
    <n v="9970.1999999999989"/>
    <x v="4"/>
  </r>
  <r>
    <s v="CUST030"/>
    <s v="Mary Davis"/>
    <x v="1"/>
    <x v="1"/>
    <n v="1291.47"/>
    <n v="18"/>
    <n v="0.1"/>
    <x v="56"/>
    <n v="581.16"/>
    <n v="17143.289999999997"/>
    <x v="4"/>
  </r>
  <r>
    <s v="CUST007"/>
    <s v="David Brown"/>
    <x v="3"/>
    <x v="0"/>
    <n v="679.71"/>
    <n v="19"/>
    <n v="0"/>
    <x v="57"/>
    <n v="271.88"/>
    <n v="11915.829999999998"/>
    <x v="4"/>
  </r>
  <r>
    <s v="CUST020"/>
    <s v="Linda Jackson"/>
    <x v="1"/>
    <x v="3"/>
    <n v="1143.69"/>
    <n v="17"/>
    <n v="0"/>
    <x v="57"/>
    <n v="400.29"/>
    <n v="3968.59"/>
    <x v="4"/>
  </r>
  <r>
    <s v="CUST028"/>
    <s v="Linda Brown"/>
    <x v="4"/>
    <x v="2"/>
    <n v="790.08"/>
    <n v="7"/>
    <n v="0.1"/>
    <x v="58"/>
    <n v="177.77"/>
    <n v="5801.29"/>
    <x v="5"/>
  </r>
  <r>
    <s v="CUST005"/>
    <s v="Lisa Davis"/>
    <x v="4"/>
    <x v="0"/>
    <n v="1070.68"/>
    <n v="7"/>
    <n v="0.05"/>
    <x v="58"/>
    <n v="406.86"/>
    <n v="8090.12"/>
    <x v="5"/>
  </r>
  <r>
    <s v="CUST015"/>
    <s v="David Thomas"/>
    <x v="0"/>
    <x v="1"/>
    <n v="1168.8900000000001"/>
    <n v="4"/>
    <n v="0.1"/>
    <x v="59"/>
    <n v="526"/>
    <n v="7020.3799999999992"/>
    <x v="5"/>
  </r>
  <r>
    <s v="CUST003"/>
    <s v="James Davis"/>
    <x v="2"/>
    <x v="2"/>
    <n v="1335.87"/>
    <n v="17"/>
    <n v="0"/>
    <x v="59"/>
    <n v="333.97"/>
    <n v="6255.7"/>
    <x v="5"/>
  </r>
  <r>
    <s v="CUST023"/>
    <s v="David Brown"/>
    <x v="1"/>
    <x v="3"/>
    <n v="873.7"/>
    <n v="9"/>
    <n v="0"/>
    <x v="60"/>
    <n v="305.8"/>
    <n v="11915.829999999998"/>
    <x v="5"/>
  </r>
  <r>
    <s v="CUST004"/>
    <s v="Sarah Davis"/>
    <x v="0"/>
    <x v="4"/>
    <n v="1443.98"/>
    <n v="19"/>
    <n v="0"/>
    <x v="61"/>
    <n v="649.79"/>
    <n v="5771.59"/>
    <x v="5"/>
  </r>
  <r>
    <s v="CUST023"/>
    <s v="James Wilson"/>
    <x v="1"/>
    <x v="4"/>
    <n v="1154.33"/>
    <n v="11"/>
    <n v="0.15"/>
    <x v="62"/>
    <n v="441.53"/>
    <n v="20774.739999999998"/>
    <x v="5"/>
  </r>
  <r>
    <s v="CUST022"/>
    <s v="Linda Brown"/>
    <x v="2"/>
    <x v="0"/>
    <n v="1264.49"/>
    <n v="16"/>
    <n v="0.05"/>
    <x v="62"/>
    <n v="480.51"/>
    <n v="5801.29"/>
    <x v="5"/>
  </r>
  <r>
    <s v="CUST007"/>
    <s v="Emma Taylor"/>
    <x v="0"/>
    <x v="3"/>
    <n v="1101.55"/>
    <n v="4"/>
    <n v="0.1"/>
    <x v="63"/>
    <n v="346.99"/>
    <n v="5014.96"/>
    <x v="5"/>
  </r>
  <r>
    <s v="CUST013"/>
    <s v="Robert Anderson"/>
    <x v="2"/>
    <x v="3"/>
    <n v="727.73"/>
    <n v="1"/>
    <n v="0.1"/>
    <x v="64"/>
    <n v="229.23"/>
    <n v="8331.8499999999985"/>
    <x v="5"/>
  </r>
  <r>
    <s v="CUST027"/>
    <s v="Emma Davis"/>
    <x v="1"/>
    <x v="4"/>
    <n v="875.41"/>
    <n v="13"/>
    <n v="0.15"/>
    <x v="64"/>
    <n v="334.84"/>
    <n v="11398.32"/>
    <x v="5"/>
  </r>
  <r>
    <s v="CUST003"/>
    <s v="James Wilson"/>
    <x v="0"/>
    <x v="2"/>
    <n v="1158.94"/>
    <n v="19"/>
    <n v="0.2"/>
    <x v="65"/>
    <n v="231.79"/>
    <n v="20774.739999999998"/>
    <x v="5"/>
  </r>
  <r>
    <s v="CUST018"/>
    <s v="Mary Jackson"/>
    <x v="2"/>
    <x v="0"/>
    <n v="966.3"/>
    <n v="2"/>
    <n v="0.15"/>
    <x v="66"/>
    <n v="328.54"/>
    <n v="7251.18"/>
    <x v="5"/>
  </r>
  <r>
    <s v="CUST020"/>
    <s v="James Taylor"/>
    <x v="2"/>
    <x v="0"/>
    <n v="917.48"/>
    <n v="6"/>
    <n v="0"/>
    <x v="67"/>
    <n v="366.99"/>
    <n v="5615.2800000000007"/>
    <x v="5"/>
  </r>
  <r>
    <s v="CUST029"/>
    <s v="Emma Wilson"/>
    <x v="0"/>
    <x v="3"/>
    <n v="1172.97"/>
    <n v="7"/>
    <n v="0.15"/>
    <x v="68"/>
    <n v="348.96"/>
    <n v="8543.9699999999993"/>
    <x v="5"/>
  </r>
  <r>
    <s v="CUST021"/>
    <s v="James Wilson"/>
    <x v="3"/>
    <x v="1"/>
    <n v="1205.82"/>
    <n v="11"/>
    <n v="0.1"/>
    <x v="68"/>
    <n v="542.62"/>
    <n v="20774.739999999998"/>
    <x v="5"/>
  </r>
  <r>
    <s v="CUST017"/>
    <s v="Sarah Davis"/>
    <x v="0"/>
    <x v="4"/>
    <n v="826.93"/>
    <n v="10"/>
    <n v="0.2"/>
    <x v="69"/>
    <n v="297.69"/>
    <n v="5771.59"/>
    <x v="5"/>
  </r>
  <r>
    <s v="CUST003"/>
    <s v="James Wilson"/>
    <x v="4"/>
    <x v="1"/>
    <n v="902.19"/>
    <n v="12"/>
    <n v="0"/>
    <x v="69"/>
    <n v="451.1"/>
    <n v="20774.739999999998"/>
    <x v="5"/>
  </r>
  <r>
    <s v="CUST027"/>
    <s v="Emma Davis"/>
    <x v="3"/>
    <x v="0"/>
    <n v="585.97"/>
    <n v="17"/>
    <n v="0.1"/>
    <x v="70"/>
    <n v="210.95"/>
    <n v="11398.32"/>
    <x v="5"/>
  </r>
  <r>
    <s v="CUST016"/>
    <s v="Michael Anderson"/>
    <x v="3"/>
    <x v="1"/>
    <n v="990.19"/>
    <n v="8"/>
    <n v="0.1"/>
    <x v="70"/>
    <n v="445.59"/>
    <n v="7881.9"/>
    <x v="5"/>
  </r>
  <r>
    <s v="CUST008"/>
    <s v="David Davis"/>
    <x v="4"/>
    <x v="2"/>
    <n v="1014.09"/>
    <n v="13"/>
    <n v="0.2"/>
    <x v="71"/>
    <n v="202.82"/>
    <n v="3819.1400000000003"/>
    <x v="6"/>
  </r>
  <r>
    <s v="CUST012"/>
    <s v="Lisa Davis"/>
    <x v="3"/>
    <x v="2"/>
    <n v="925.29"/>
    <n v="17"/>
    <n v="0"/>
    <x v="72"/>
    <n v="231.32"/>
    <n v="8090.12"/>
    <x v="6"/>
  </r>
  <r>
    <s v="CUST025"/>
    <s v="Mary Jackson"/>
    <x v="1"/>
    <x v="3"/>
    <n v="1286.54"/>
    <n v="8"/>
    <n v="0"/>
    <x v="73"/>
    <n v="450.29"/>
    <n v="7251.18"/>
    <x v="6"/>
  </r>
  <r>
    <s v="CUST014"/>
    <s v="Sarah Davis"/>
    <x v="2"/>
    <x v="0"/>
    <n v="961.62"/>
    <n v="8"/>
    <n v="0.2"/>
    <x v="74"/>
    <n v="307.72000000000003"/>
    <n v="5771.59"/>
    <x v="6"/>
  </r>
  <r>
    <s v="CUST008"/>
    <s v="James Wilson"/>
    <x v="1"/>
    <x v="0"/>
    <n v="1081.1400000000001"/>
    <n v="19"/>
    <n v="0.15"/>
    <x v="74"/>
    <n v="367.59"/>
    <n v="20774.739999999998"/>
    <x v="6"/>
  </r>
  <r>
    <s v="CUST015"/>
    <s v="James Wilson"/>
    <x v="0"/>
    <x v="1"/>
    <n v="1923.66"/>
    <n v="9"/>
    <n v="0.2"/>
    <x v="75"/>
    <n v="769.46"/>
    <n v="20774.739999999998"/>
    <x v="6"/>
  </r>
  <r>
    <s v="CUST025"/>
    <s v="Emma Taylor"/>
    <x v="4"/>
    <x v="1"/>
    <n v="728.71"/>
    <n v="14"/>
    <n v="0.1"/>
    <x v="76"/>
    <n v="327.92"/>
    <n v="5014.96"/>
    <x v="6"/>
  </r>
  <r>
    <s v="CUST019"/>
    <s v="Linda Jackson"/>
    <x v="4"/>
    <x v="1"/>
    <n v="1301.8900000000001"/>
    <n v="7"/>
    <n v="0.15"/>
    <x v="76"/>
    <n v="553.29999999999995"/>
    <n v="3968.59"/>
    <x v="6"/>
  </r>
  <r>
    <s v="CUST024"/>
    <s v="Emma Taylor"/>
    <x v="1"/>
    <x v="0"/>
    <n v="980.18"/>
    <n v="16"/>
    <n v="0.1"/>
    <x v="77"/>
    <n v="352.86"/>
    <n v="5014.96"/>
    <x v="6"/>
  </r>
  <r>
    <s v="CUST027"/>
    <s v="James Wilson"/>
    <x v="0"/>
    <x v="1"/>
    <n v="697.57"/>
    <n v="17"/>
    <n v="0.1"/>
    <x v="78"/>
    <n v="313.91000000000003"/>
    <n v="20774.739999999998"/>
    <x v="6"/>
  </r>
  <r>
    <s v="CUST006"/>
    <s v="David Anderson"/>
    <x v="0"/>
    <x v="3"/>
    <n v="1193.6099999999999"/>
    <n v="1"/>
    <n v="0.15"/>
    <x v="78"/>
    <n v="355.1"/>
    <n v="5465.71"/>
    <x v="6"/>
  </r>
  <r>
    <s v="CUST009"/>
    <s v="Emma Davis"/>
    <x v="2"/>
    <x v="2"/>
    <n v="771.02"/>
    <n v="1"/>
    <n v="0"/>
    <x v="79"/>
    <n v="192.76"/>
    <n v="11398.32"/>
    <x v="6"/>
  </r>
  <r>
    <s v="CUST003"/>
    <s v="Linda Moore"/>
    <x v="3"/>
    <x v="1"/>
    <n v="661.09"/>
    <n v="1"/>
    <n v="0.2"/>
    <x v="80"/>
    <n v="264.44"/>
    <n v="2304.9"/>
    <x v="6"/>
  </r>
  <r>
    <s v="CUST012"/>
    <s v="David Brown"/>
    <x v="0"/>
    <x v="2"/>
    <n v="688.83"/>
    <n v="15"/>
    <n v="0"/>
    <x v="81"/>
    <n v="172.21"/>
    <n v="11915.829999999998"/>
    <x v="6"/>
  </r>
  <r>
    <s v="CUST013"/>
    <s v="Linda Wilson"/>
    <x v="4"/>
    <x v="0"/>
    <n v="1249.0999999999999"/>
    <n v="4"/>
    <n v="0.05"/>
    <x v="82"/>
    <n v="474.66"/>
    <n v="9970.1999999999989"/>
    <x v="7"/>
  </r>
  <r>
    <s v="CUST008"/>
    <s v="James Wilson"/>
    <x v="1"/>
    <x v="4"/>
    <n v="1014.22"/>
    <n v="14"/>
    <n v="0.05"/>
    <x v="83"/>
    <n v="433.58"/>
    <n v="20774.739999999998"/>
    <x v="7"/>
  </r>
  <r>
    <s v="CUST025"/>
    <s v="Lisa Davis"/>
    <x v="1"/>
    <x v="0"/>
    <n v="1010.58"/>
    <n v="2"/>
    <n v="0.15"/>
    <x v="84"/>
    <n v="343.6"/>
    <n v="8090.12"/>
    <x v="7"/>
  </r>
  <r>
    <s v="CUST026"/>
    <s v="Mary Wilson"/>
    <x v="3"/>
    <x v="3"/>
    <n v="957.29"/>
    <n v="4"/>
    <n v="0.05"/>
    <x v="84"/>
    <n v="318.3"/>
    <n v="5443.34"/>
    <x v="7"/>
  </r>
  <r>
    <s v="CUST001"/>
    <s v="Lisa Thomas"/>
    <x v="3"/>
    <x v="3"/>
    <n v="1077.92"/>
    <n v="3"/>
    <n v="0.05"/>
    <x v="85"/>
    <n v="358.41"/>
    <n v="8635.9500000000007"/>
    <x v="7"/>
  </r>
  <r>
    <s v="CUST028"/>
    <s v="Linda Brown"/>
    <x v="2"/>
    <x v="1"/>
    <n v="1163.01"/>
    <n v="5"/>
    <n v="0"/>
    <x v="86"/>
    <n v="581.5"/>
    <n v="5801.29"/>
    <x v="7"/>
  </r>
  <r>
    <s v="CUST025"/>
    <s v="Lisa Thomas"/>
    <x v="1"/>
    <x v="4"/>
    <n v="1014.56"/>
    <n v="10"/>
    <n v="0.1"/>
    <x v="87"/>
    <n v="410.9"/>
    <n v="8635.9500000000007"/>
    <x v="7"/>
  </r>
  <r>
    <s v="CUST019"/>
    <s v="James Taylor"/>
    <x v="2"/>
    <x v="2"/>
    <n v="718.04"/>
    <n v="14"/>
    <n v="0"/>
    <x v="88"/>
    <n v="179.51"/>
    <n v="5615.2800000000007"/>
    <x v="7"/>
  </r>
  <r>
    <s v="CUST004"/>
    <s v="James Taylor"/>
    <x v="4"/>
    <x v="1"/>
    <n v="1277.8499999999999"/>
    <n v="18"/>
    <n v="0.2"/>
    <x v="88"/>
    <n v="511.14"/>
    <n v="5615.2800000000007"/>
    <x v="7"/>
  </r>
  <r>
    <s v="CUST024"/>
    <s v="James Wilson"/>
    <x v="3"/>
    <x v="2"/>
    <n v="706.73"/>
    <n v="1"/>
    <n v="0.15"/>
    <x v="88"/>
    <n v="150.18"/>
    <n v="20774.739999999998"/>
    <x v="7"/>
  </r>
  <r>
    <s v="CUST002"/>
    <s v="Linda Brown"/>
    <x v="1"/>
    <x v="2"/>
    <n v="1410.59"/>
    <n v="15"/>
    <n v="0"/>
    <x v="89"/>
    <n v="352.65"/>
    <n v="5801.29"/>
    <x v="7"/>
  </r>
  <r>
    <s v="CUST009"/>
    <s v="Emma Wilson"/>
    <x v="2"/>
    <x v="3"/>
    <n v="1350.33"/>
    <n v="10"/>
    <n v="0"/>
    <x v="89"/>
    <n v="472.62"/>
    <n v="8543.9699999999993"/>
    <x v="7"/>
  </r>
  <r>
    <s v="CUST029"/>
    <s v="Lisa Thomas"/>
    <x v="1"/>
    <x v="2"/>
    <n v="919.18"/>
    <n v="4"/>
    <n v="0.15"/>
    <x v="89"/>
    <n v="195.33"/>
    <n v="8635.9500000000007"/>
    <x v="7"/>
  </r>
  <r>
    <s v="CUST027"/>
    <s v="James Wilson"/>
    <x v="0"/>
    <x v="2"/>
    <n v="258.51"/>
    <n v="19"/>
    <n v="0"/>
    <x v="90"/>
    <n v="64.63"/>
    <n v="20774.739999999998"/>
    <x v="7"/>
  </r>
  <r>
    <s v="CUST011"/>
    <s v="Emma Wilson"/>
    <x v="1"/>
    <x v="0"/>
    <n v="1213.48"/>
    <n v="5"/>
    <n v="0.05"/>
    <x v="90"/>
    <n v="461.12"/>
    <n v="8543.9699999999993"/>
    <x v="7"/>
  </r>
  <r>
    <s v="CUST021"/>
    <s v="Emma Davis"/>
    <x v="4"/>
    <x v="0"/>
    <n v="1150.28"/>
    <n v="8"/>
    <n v="0.05"/>
    <x v="91"/>
    <n v="437.11"/>
    <n v="11398.32"/>
    <x v="7"/>
  </r>
  <r>
    <s v="CUST014"/>
    <s v="David Anderson"/>
    <x v="2"/>
    <x v="3"/>
    <n v="853.86"/>
    <n v="8"/>
    <n v="0.1"/>
    <x v="91"/>
    <n v="268.97000000000003"/>
    <n v="5465.71"/>
    <x v="7"/>
  </r>
  <r>
    <s v="CUST018"/>
    <s v="Lisa Thomas"/>
    <x v="2"/>
    <x v="2"/>
    <n v="1061.04"/>
    <n v="1"/>
    <n v="0"/>
    <x v="92"/>
    <n v="265.26"/>
    <n v="8635.9500000000007"/>
    <x v="7"/>
  </r>
  <r>
    <s v="CUST001"/>
    <s v="Sarah Anderson"/>
    <x v="0"/>
    <x v="2"/>
    <n v="894.55"/>
    <n v="19"/>
    <n v="0.2"/>
    <x v="93"/>
    <n v="178.91"/>
    <n v="7296.1900000000005"/>
    <x v="7"/>
  </r>
  <r>
    <s v="CUST007"/>
    <s v="Emma Davis"/>
    <x v="3"/>
    <x v="4"/>
    <n v="833.91"/>
    <n v="3"/>
    <n v="0.05"/>
    <x v="94"/>
    <n v="356.5"/>
    <n v="11398.32"/>
    <x v="7"/>
  </r>
  <r>
    <s v="CUST015"/>
    <s v="David Anderson"/>
    <x v="0"/>
    <x v="3"/>
    <n v="820.19"/>
    <n v="4"/>
    <n v="0.2"/>
    <x v="95"/>
    <n v="229.65"/>
    <n v="5465.71"/>
    <x v="8"/>
  </r>
  <r>
    <s v="CUST015"/>
    <s v="Emma Davis"/>
    <x v="4"/>
    <x v="2"/>
    <n v="511.74"/>
    <n v="8"/>
    <n v="0.05"/>
    <x v="96"/>
    <n v="121.54"/>
    <n v="11398.32"/>
    <x v="8"/>
  </r>
  <r>
    <s v="CUST002"/>
    <s v="Emma Wilson"/>
    <x v="2"/>
    <x v="3"/>
    <n v="806.03"/>
    <n v="19"/>
    <n v="0.05"/>
    <x v="97"/>
    <n v="268"/>
    <n v="8543.9699999999993"/>
    <x v="8"/>
  </r>
  <r>
    <s v="CUST001"/>
    <s v="Michael Anderson"/>
    <x v="4"/>
    <x v="3"/>
    <n v="1432.47"/>
    <n v="16"/>
    <n v="0.15"/>
    <x v="98"/>
    <n v="426.16"/>
    <n v="7881.9"/>
    <x v="8"/>
  </r>
  <r>
    <s v="CUST027"/>
    <s v="Linda Wilson"/>
    <x v="4"/>
    <x v="2"/>
    <n v="1488.58"/>
    <n v="10"/>
    <n v="0.15"/>
    <x v="98"/>
    <n v="316.32"/>
    <n v="9970.1999999999989"/>
    <x v="8"/>
  </r>
  <r>
    <s v="CUST026"/>
    <s v="Emma Taylor"/>
    <x v="1"/>
    <x v="0"/>
    <n v="1231.26"/>
    <n v="9"/>
    <n v="0"/>
    <x v="99"/>
    <n v="492.5"/>
    <n v="5014.96"/>
    <x v="8"/>
  </r>
  <r>
    <s v="CUST026"/>
    <s v="Sarah Anderson"/>
    <x v="0"/>
    <x v="2"/>
    <n v="1161.67"/>
    <n v="19"/>
    <n v="0.2"/>
    <x v="100"/>
    <n v="232.33"/>
    <n v="7296.1900000000005"/>
    <x v="8"/>
  </r>
  <r>
    <s v="CUST022"/>
    <s v="Lisa Thomas"/>
    <x v="4"/>
    <x v="4"/>
    <n v="388.23"/>
    <n v="16"/>
    <n v="0.05"/>
    <x v="101"/>
    <n v="165.97"/>
    <n v="8635.9500000000007"/>
    <x v="8"/>
  </r>
  <r>
    <s v="CUST004"/>
    <s v="Mary Davis"/>
    <x v="3"/>
    <x v="1"/>
    <n v="1589.42"/>
    <n v="6"/>
    <n v="0.15"/>
    <x v="102"/>
    <n v="675.5"/>
    <n v="17143.289999999997"/>
    <x v="8"/>
  </r>
  <r>
    <s v="CUST001"/>
    <s v="David Anderson"/>
    <x v="3"/>
    <x v="1"/>
    <n v="336.66"/>
    <n v="13"/>
    <n v="0.2"/>
    <x v="102"/>
    <n v="134.66"/>
    <n v="5465.71"/>
    <x v="8"/>
  </r>
  <r>
    <s v="CUST022"/>
    <s v="James Wilson"/>
    <x v="0"/>
    <x v="0"/>
    <n v="1353.79"/>
    <n v="14"/>
    <n v="0.1"/>
    <x v="103"/>
    <n v="487.36"/>
    <n v="20774.739999999998"/>
    <x v="8"/>
  </r>
  <r>
    <s v="CUST011"/>
    <s v="Linda Moore"/>
    <x v="4"/>
    <x v="1"/>
    <n v="662.61"/>
    <n v="11"/>
    <n v="0.05"/>
    <x v="104"/>
    <n v="314.74"/>
    <n v="2304.9"/>
    <x v="9"/>
  </r>
  <r>
    <s v="CUST028"/>
    <s v="Lisa Davis"/>
    <x v="3"/>
    <x v="4"/>
    <n v="309.42"/>
    <n v="1"/>
    <n v="0.2"/>
    <x v="104"/>
    <n v="111.39"/>
    <n v="8090.12"/>
    <x v="9"/>
  </r>
  <r>
    <s v="CUST011"/>
    <s v="Linda Wilson"/>
    <x v="3"/>
    <x v="0"/>
    <n v="884.63"/>
    <n v="18"/>
    <n v="0.1"/>
    <x v="105"/>
    <n v="318.47000000000003"/>
    <n v="9970.1999999999989"/>
    <x v="9"/>
  </r>
  <r>
    <s v="CUST028"/>
    <s v="James Wilson"/>
    <x v="4"/>
    <x v="4"/>
    <n v="745.05"/>
    <n v="10"/>
    <n v="0.1"/>
    <x v="106"/>
    <n v="301.75"/>
    <n v="20774.739999999998"/>
    <x v="9"/>
  </r>
  <r>
    <s v="CUST016"/>
    <s v="James Taylor"/>
    <x v="2"/>
    <x v="1"/>
    <n v="870.23"/>
    <n v="5"/>
    <n v="0.05"/>
    <x v="106"/>
    <n v="413.36"/>
    <n v="5615.2800000000007"/>
    <x v="9"/>
  </r>
  <r>
    <s v="CUST010"/>
    <s v="Linda Wilson"/>
    <x v="0"/>
    <x v="3"/>
    <n v="862.19"/>
    <n v="18"/>
    <n v="0.05"/>
    <x v="107"/>
    <n v="286.68"/>
    <n v="9970.1999999999989"/>
    <x v="9"/>
  </r>
  <r>
    <s v="CUST013"/>
    <s v="Mary Wilson"/>
    <x v="3"/>
    <x v="1"/>
    <n v="1171.18"/>
    <n v="19"/>
    <n v="0.05"/>
    <x v="108"/>
    <n v="556.30999999999995"/>
    <n v="5443.34"/>
    <x v="9"/>
  </r>
  <r>
    <s v="CUST015"/>
    <s v="Robert Anderson"/>
    <x v="2"/>
    <x v="3"/>
    <n v="1054.56"/>
    <n v="11"/>
    <n v="0.1"/>
    <x v="109"/>
    <n v="332.19"/>
    <n v="8331.8499999999985"/>
    <x v="9"/>
  </r>
  <r>
    <s v="CUST015"/>
    <s v="James Wilson"/>
    <x v="3"/>
    <x v="2"/>
    <n v="1681.21"/>
    <n v="5"/>
    <n v="0.2"/>
    <x v="110"/>
    <n v="336.24"/>
    <n v="20774.739999999998"/>
    <x v="9"/>
  </r>
  <r>
    <s v="CUST015"/>
    <s v="David Thomas"/>
    <x v="0"/>
    <x v="1"/>
    <n v="379.77"/>
    <n v="9"/>
    <n v="0.05"/>
    <x v="111"/>
    <n v="180.39"/>
    <n v="7020.3799999999992"/>
    <x v="9"/>
  </r>
  <r>
    <s v="CUST008"/>
    <s v="Lisa Thomas"/>
    <x v="4"/>
    <x v="1"/>
    <n v="1076.33"/>
    <n v="2"/>
    <n v="0.1"/>
    <x v="112"/>
    <n v="484.35"/>
    <n v="8635.9500000000007"/>
    <x v="9"/>
  </r>
  <r>
    <s v="CUST008"/>
    <s v="Mary Davis"/>
    <x v="4"/>
    <x v="4"/>
    <n v="1250.71"/>
    <n v="7"/>
    <n v="0"/>
    <x v="112"/>
    <n v="562.82000000000005"/>
    <n v="17143.289999999997"/>
    <x v="9"/>
  </r>
  <r>
    <s v="CUST023"/>
    <s v="James Taylor"/>
    <x v="2"/>
    <x v="1"/>
    <n v="1118.3399999999999"/>
    <n v="6"/>
    <n v="0.2"/>
    <x v="112"/>
    <n v="447.34"/>
    <n v="5615.2800000000007"/>
    <x v="9"/>
  </r>
  <r>
    <s v="CUST024"/>
    <s v="Linda Taylor"/>
    <x v="3"/>
    <x v="1"/>
    <n v="1622.62"/>
    <n v="12"/>
    <n v="0.2"/>
    <x v="113"/>
    <n v="649.04999999999995"/>
    <n v="7522.77"/>
    <x v="9"/>
  </r>
  <r>
    <s v="CUST018"/>
    <s v="Lisa Davis"/>
    <x v="3"/>
    <x v="0"/>
    <n v="640.64"/>
    <n v="11"/>
    <n v="0.2"/>
    <x v="114"/>
    <n v="205"/>
    <n v="8090.12"/>
    <x v="9"/>
  </r>
  <r>
    <s v="CUST030"/>
    <s v="Sarah Anderson"/>
    <x v="0"/>
    <x v="1"/>
    <n v="585.16"/>
    <n v="17"/>
    <n v="0.1"/>
    <x v="115"/>
    <n v="263.32"/>
    <n v="7296.1900000000005"/>
    <x v="9"/>
  </r>
  <r>
    <s v="CUST030"/>
    <s v="Mary Davis"/>
    <x v="1"/>
    <x v="1"/>
    <n v="1109.98"/>
    <n v="5"/>
    <n v="0.2"/>
    <x v="116"/>
    <n v="443.99"/>
    <n v="17143.289999999997"/>
    <x v="10"/>
  </r>
  <r>
    <s v="CUST015"/>
    <s v="Lisa Thomas"/>
    <x v="1"/>
    <x v="0"/>
    <n v="1098.08"/>
    <n v="9"/>
    <n v="0.1"/>
    <x v="117"/>
    <n v="395.31"/>
    <n v="8635.9500000000007"/>
    <x v="10"/>
  </r>
  <r>
    <s v="CUST002"/>
    <s v="Lisa Davis"/>
    <x v="0"/>
    <x v="4"/>
    <n v="827.25"/>
    <n v="7"/>
    <n v="0.1"/>
    <x v="118"/>
    <n v="335.04"/>
    <n v="8090.12"/>
    <x v="10"/>
  </r>
  <r>
    <s v="CUST024"/>
    <s v="Linda Wilson"/>
    <x v="4"/>
    <x v="1"/>
    <n v="741.88"/>
    <n v="16"/>
    <n v="0.1"/>
    <x v="119"/>
    <n v="333.85"/>
    <n v="9970.1999999999989"/>
    <x v="10"/>
  </r>
  <r>
    <s v="CUST004"/>
    <s v="James Davis"/>
    <x v="1"/>
    <x v="4"/>
    <n v="1311.26"/>
    <n v="6"/>
    <n v="0.1"/>
    <x v="120"/>
    <n v="531.05999999999995"/>
    <n v="6255.7"/>
    <x v="10"/>
  </r>
  <r>
    <s v="CUST004"/>
    <s v="Mary Davis"/>
    <x v="2"/>
    <x v="4"/>
    <n v="573.32000000000005"/>
    <n v="19"/>
    <n v="0.1"/>
    <x v="121"/>
    <n v="232.19"/>
    <n v="17143.289999999997"/>
    <x v="10"/>
  </r>
  <r>
    <s v="CUST028"/>
    <s v="James Wilson"/>
    <x v="0"/>
    <x v="2"/>
    <n v="1115.22"/>
    <n v="14"/>
    <n v="0.2"/>
    <x v="122"/>
    <n v="223.04"/>
    <n v="20774.739999999998"/>
    <x v="10"/>
  </r>
  <r>
    <s v="CUST012"/>
    <s v="Lisa Thomas"/>
    <x v="3"/>
    <x v="1"/>
    <n v="845.84"/>
    <n v="4"/>
    <n v="0"/>
    <x v="123"/>
    <n v="422.92"/>
    <n v="8635.9500000000007"/>
    <x v="10"/>
  </r>
  <r>
    <s v="CUST026"/>
    <s v="David Brown"/>
    <x v="0"/>
    <x v="2"/>
    <n v="1029.8"/>
    <n v="3"/>
    <n v="0"/>
    <x v="124"/>
    <n v="257.45"/>
    <n v="11915.829999999998"/>
    <x v="10"/>
  </r>
  <r>
    <s v="CUST009"/>
    <s v="Mary Davis"/>
    <x v="3"/>
    <x v="0"/>
    <n v="1189.83"/>
    <n v="2"/>
    <n v="0.2"/>
    <x v="125"/>
    <n v="380.75"/>
    <n v="17143.289999999997"/>
    <x v="10"/>
  </r>
  <r>
    <s v="CUST003"/>
    <s v="Sarah Anderson"/>
    <x v="2"/>
    <x v="0"/>
    <n v="704.28"/>
    <n v="15"/>
    <n v="0.2"/>
    <x v="126"/>
    <n v="225.37"/>
    <n v="7296.1900000000005"/>
    <x v="10"/>
  </r>
  <r>
    <s v="CUST002"/>
    <s v="Mary Jackson"/>
    <x v="4"/>
    <x v="4"/>
    <n v="1618.22"/>
    <n v="12"/>
    <n v="0.2"/>
    <x v="126"/>
    <n v="582.55999999999995"/>
    <n v="7251.18"/>
    <x v="10"/>
  </r>
  <r>
    <s v="CUST013"/>
    <s v="Linda Taylor"/>
    <x v="4"/>
    <x v="0"/>
    <n v="1014.43"/>
    <n v="2"/>
    <n v="0.15"/>
    <x v="127"/>
    <n v="344.91"/>
    <n v="7522.77"/>
    <x v="10"/>
  </r>
  <r>
    <s v="CUST018"/>
    <s v="Mary Davis"/>
    <x v="4"/>
    <x v="1"/>
    <n v="826.97"/>
    <n v="18"/>
    <n v="0.2"/>
    <x v="128"/>
    <n v="330.79"/>
    <n v="17143.289999999997"/>
    <x v="10"/>
  </r>
  <r>
    <s v="CUST017"/>
    <s v="Mary Davis"/>
    <x v="4"/>
    <x v="1"/>
    <n v="1022.23"/>
    <n v="8"/>
    <n v="0.1"/>
    <x v="129"/>
    <n v="460"/>
    <n v="17143.289999999997"/>
    <x v="11"/>
  </r>
  <r>
    <s v="CUST004"/>
    <s v="Linda Wilson"/>
    <x v="1"/>
    <x v="0"/>
    <n v="1099.69"/>
    <n v="6"/>
    <n v="0"/>
    <x v="130"/>
    <n v="439.88"/>
    <n v="9970.1999999999989"/>
    <x v="11"/>
  </r>
  <r>
    <s v="CUST028"/>
    <s v="Sarah Davis"/>
    <x v="3"/>
    <x v="0"/>
    <n v="710.52"/>
    <n v="8"/>
    <n v="0.1"/>
    <x v="131"/>
    <n v="255.79"/>
    <n v="5771.59"/>
    <x v="11"/>
  </r>
  <r>
    <s v="CUST028"/>
    <s v="Mary Wilson"/>
    <x v="3"/>
    <x v="0"/>
    <n v="499.18"/>
    <n v="15"/>
    <n v="0.2"/>
    <x v="132"/>
    <n v="159.74"/>
    <n v="5443.34"/>
    <x v="11"/>
  </r>
  <r>
    <s v="CUST014"/>
    <s v="Emma Davis"/>
    <x v="2"/>
    <x v="0"/>
    <n v="1064.19"/>
    <n v="18"/>
    <n v="0.05"/>
    <x v="133"/>
    <n v="404.39"/>
    <n v="11398.32"/>
    <x v="11"/>
  </r>
  <r>
    <s v="CUST003"/>
    <s v="Emma Davis"/>
    <x v="1"/>
    <x v="4"/>
    <n v="438.76"/>
    <n v="18"/>
    <n v="0.05"/>
    <x v="134"/>
    <n v="187.57"/>
    <n v="11398.32"/>
    <x v="11"/>
  </r>
  <r>
    <s v="CUST029"/>
    <s v="David Brown"/>
    <x v="0"/>
    <x v="1"/>
    <n v="864.98"/>
    <n v="2"/>
    <n v="0.05"/>
    <x v="135"/>
    <n v="410.87"/>
    <n v="11915.829999999998"/>
    <x v="11"/>
  </r>
  <r>
    <s v="CUST021"/>
    <s v="David Brown"/>
    <x v="0"/>
    <x v="3"/>
    <n v="984.93"/>
    <n v="14"/>
    <n v="0.2"/>
    <x v="136"/>
    <n v="275.77999999999997"/>
    <n v="11915.829999999998"/>
    <x v="11"/>
  </r>
  <r>
    <s v="CUST007"/>
    <s v="David Brown"/>
    <x v="0"/>
    <x v="1"/>
    <n v="1493.49"/>
    <n v="18"/>
    <n v="0"/>
    <x v="137"/>
    <n v="746.74"/>
    <n v="11915.829999999998"/>
    <x v="11"/>
  </r>
  <r>
    <s v="CUST009"/>
    <s v="Linda Taylor"/>
    <x v="2"/>
    <x v="1"/>
    <n v="689.43"/>
    <n v="9"/>
    <n v="0.1"/>
    <x v="138"/>
    <n v="310.24"/>
    <n v="7522.77"/>
    <x v="11"/>
  </r>
  <r>
    <s v="CUST023"/>
    <s v="Mary Wilson"/>
    <x v="2"/>
    <x v="1"/>
    <n v="682.24"/>
    <n v="1"/>
    <n v="0"/>
    <x v="139"/>
    <n v="341.12"/>
    <n v="5443.34"/>
    <x v="11"/>
  </r>
  <r>
    <s v="CUST029"/>
    <s v="Michael Anderson"/>
    <x v="3"/>
    <x v="2"/>
    <n v="458.54"/>
    <n v="15"/>
    <n v="0.2"/>
    <x v="140"/>
    <n v="91.71"/>
    <n v="7881.9"/>
    <x v="11"/>
  </r>
  <r>
    <s v="CUST009"/>
    <s v="Michael Anderson"/>
    <x v="2"/>
    <x v="3"/>
    <n v="1184.25"/>
    <n v="11"/>
    <n v="0.2"/>
    <x v="141"/>
    <n v="331.59"/>
    <n v="7881.9"/>
    <x v="11"/>
  </r>
  <r>
    <s v="CUST007"/>
    <s v="James Davis"/>
    <x v="2"/>
    <x v="1"/>
    <n v="762.14"/>
    <n v="9"/>
    <n v="0"/>
    <x v="142"/>
    <n v="381.07"/>
    <n v="6255.7"/>
    <x v="11"/>
  </r>
  <r>
    <s v="CUST030"/>
    <s v="Linda Taylor"/>
    <x v="3"/>
    <x v="0"/>
    <n v="750.71"/>
    <n v="10"/>
    <n v="0.15"/>
    <x v="142"/>
    <n v="255.24"/>
    <n v="7522.77"/>
    <x v="11"/>
  </r>
  <r>
    <s v="CUST018"/>
    <s v="David Anderson"/>
    <x v="4"/>
    <x v="1"/>
    <n v="1456.94"/>
    <n v="14"/>
    <n v="0.05"/>
    <x v="143"/>
    <n v="692.05"/>
    <n v="5465.71"/>
    <x v="11"/>
  </r>
  <r>
    <s v="CUST008"/>
    <s v="Emma Wilson"/>
    <x v="1"/>
    <x v="3"/>
    <n v="1093.3800000000001"/>
    <n v="17"/>
    <n v="0.1"/>
    <x v="143"/>
    <n v="344.41"/>
    <n v="8543.9699999999993"/>
    <x v="11"/>
  </r>
  <r>
    <s v="CUST014"/>
    <s v="Sarah Anderson"/>
    <x v="0"/>
    <x v="1"/>
    <n v="934.27"/>
    <n v="8"/>
    <n v="0.15"/>
    <x v="144"/>
    <n v="397.06"/>
    <n v="7296.1900000000005"/>
    <x v="11"/>
  </r>
  <r>
    <s v="CUST024"/>
    <s v="David Thomas"/>
    <x v="4"/>
    <x v="1"/>
    <n v="1465.35"/>
    <n v="8"/>
    <n v="0.2"/>
    <x v="144"/>
    <n v="586.14"/>
    <n v="7020.3799999999992"/>
    <x v="11"/>
  </r>
  <r>
    <s v="CUST028"/>
    <s v="Robert Anderson"/>
    <x v="2"/>
    <x v="4"/>
    <n v="740.8"/>
    <n v="3"/>
    <n v="0"/>
    <x v="145"/>
    <n v="333.36"/>
    <n v="8331.8499999999985"/>
    <x v="12"/>
  </r>
  <r>
    <s v="CUST015"/>
    <s v="Sarah Anderson"/>
    <x v="0"/>
    <x v="4"/>
    <n v="545.44000000000005"/>
    <n v="17"/>
    <n v="0"/>
    <x v="146"/>
    <n v="245.45"/>
    <n v="7296.1900000000005"/>
    <x v="12"/>
  </r>
  <r>
    <s v="CUST010"/>
    <s v="David Thomas"/>
    <x v="1"/>
    <x v="0"/>
    <n v="997.61"/>
    <n v="8"/>
    <n v="0.05"/>
    <x v="146"/>
    <n v="379.09"/>
    <n v="7020.3799999999992"/>
    <x v="12"/>
  </r>
  <r>
    <s v="CUST016"/>
    <s v="David Thomas"/>
    <x v="2"/>
    <x v="1"/>
    <n v="928.32"/>
    <n v="2"/>
    <n v="0.05"/>
    <x v="147"/>
    <n v="440.95"/>
    <n v="7020.379999999999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8E5EB-BBB9-4915-B39D-913937930EB7}"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Region" colHeaderCaption="Product Category">
  <location ref="A2:G9" firstHeaderRow="1" firstDataRow="2" firstDataCol="1"/>
  <pivotFields count="14">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ales Amount" fld="4" baseField="0" baseItem="0"/>
  </dataFields>
  <formats count="10">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fieldPosition="0">
        <references count="1">
          <reference field="3" count="0"/>
        </references>
      </pivotArea>
    </format>
    <format dxfId="100">
      <pivotArea dataOnly="0" labelOnly="1" grandCol="1" outline="0" fieldPosition="0"/>
    </format>
  </formats>
  <chartFormats count="12">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9" format="4" series="1">
      <pivotArea type="data" outline="0" fieldPosition="0">
        <references count="2">
          <reference field="4294967294" count="1" selected="0">
            <x v="0"/>
          </reference>
          <reference field="3" count="1" selected="0">
            <x v="4"/>
          </reference>
        </references>
      </pivotArea>
    </chartFormat>
    <chartFormat chart="13" format="10" series="1">
      <pivotArea type="data" outline="0" fieldPosition="0">
        <references count="2">
          <reference field="4294967294" count="1" selected="0">
            <x v="0"/>
          </reference>
          <reference field="3" count="1" selected="0">
            <x v="0"/>
          </reference>
        </references>
      </pivotArea>
    </chartFormat>
    <chartFormat chart="13" format="11" series="1">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2">
          <reference field="4294967294" count="1" selected="0">
            <x v="0"/>
          </reference>
          <reference field="3" count="1" selected="0">
            <x v="2"/>
          </reference>
        </references>
      </pivotArea>
    </chartFormat>
    <chartFormat chart="13" format="13" series="1">
      <pivotArea type="data" outline="0" fieldPosition="0">
        <references count="2">
          <reference field="4294967294" count="1" selected="0">
            <x v="0"/>
          </reference>
          <reference field="3" count="1" selected="0">
            <x v="3"/>
          </reference>
        </references>
      </pivotArea>
    </chartFormat>
    <chartFormat chart="13" format="14" series="1">
      <pivotArea type="data" outline="0" fieldPosition="0">
        <references count="2">
          <reference field="4294967294" count="1" selected="0">
            <x v="0"/>
          </reference>
          <reference field="3" count="1" selected="0">
            <x v="4"/>
          </reference>
        </references>
      </pivotArea>
    </chartFormat>
    <chartFormat chart="13" format="1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2590A-3BB7-4DC8-B01A-122B7D7B7449}"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2:B8" firstHeaderRow="1" firstDataRow="1" firstDataCol="1"/>
  <pivotFields count="14">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formats count="36">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2" type="button" dataOnly="0" labelOnly="1" outline="0" axis="axisRow" fieldPosition="0"/>
    </format>
    <format dxfId="84">
      <pivotArea dataOnly="0" labelOnly="1" fieldPosition="0">
        <references count="1">
          <reference field="2"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4A867-FE64-4072-8E36-52E7224D70B9}"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
  <location ref="A2:B18"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items count="26">
        <item m="1" x="22"/>
        <item m="1" x="23"/>
        <item m="1" x="24"/>
        <item m="1" x="13"/>
        <item m="1" x="14"/>
        <item m="1" x="15"/>
        <item m="1" x="16"/>
        <item m="1" x="17"/>
        <item m="1" x="18"/>
        <item m="1" x="19"/>
        <item m="1" x="20"/>
        <item m="1" x="21"/>
        <item x="0"/>
        <item x="12"/>
        <item x="4"/>
        <item x="8"/>
        <item x="10"/>
        <item x="9"/>
        <item x="3"/>
        <item x="2"/>
        <item x="11"/>
        <item x="1"/>
        <item x="7"/>
        <item x="6"/>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formats count="10">
    <format dxfId="63">
      <pivotArea type="all" dataOnly="0" outline="0" fieldPosition="0"/>
    </format>
    <format dxfId="62">
      <pivotArea outline="0" collapsedLevelsAreSubtotals="1" fieldPosition="0"/>
    </format>
    <format dxfId="61">
      <pivotArea field="10" type="button" dataOnly="0" labelOnly="1" outline="0"/>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0" type="button" dataOnly="0" labelOnly="1" outline="0"/>
    </format>
    <format dxfId="55">
      <pivotArea dataOnly="0" labelOnly="1" grandRow="1" outline="0" fieldPosition="0"/>
    </format>
    <format dxfId="5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34463-951F-4B0D-AE21-93652AEFD42F}"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onth">
  <location ref="A1:B15"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axis="axisRow" showAll="0">
      <items count="26">
        <item m="1" x="22"/>
        <item m="1" x="23"/>
        <item m="1" x="24"/>
        <item m="1" x="13"/>
        <item m="1" x="14"/>
        <item m="1" x="15"/>
        <item m="1" x="16"/>
        <item m="1" x="17"/>
        <item m="1" x="18"/>
        <item m="1" x="19"/>
        <item m="1" x="20"/>
        <item m="1" x="21"/>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4">
    <i>
      <x v="12"/>
    </i>
    <i>
      <x v="13"/>
    </i>
    <i>
      <x v="14"/>
    </i>
    <i>
      <x v="15"/>
    </i>
    <i>
      <x v="16"/>
    </i>
    <i>
      <x v="17"/>
    </i>
    <i>
      <x v="18"/>
    </i>
    <i>
      <x v="19"/>
    </i>
    <i>
      <x v="20"/>
    </i>
    <i>
      <x v="21"/>
    </i>
    <i>
      <x v="22"/>
    </i>
    <i>
      <x v="23"/>
    </i>
    <i>
      <x v="24"/>
    </i>
    <i t="grand">
      <x/>
    </i>
  </rowItems>
  <colItems count="1">
    <i/>
  </colItems>
  <dataFields count="1">
    <dataField name="Sum of Sales" fld="4" baseField="0" baseItem="0"/>
  </dataFields>
  <formats count="29">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0" type="button" dataOnly="0" labelOnly="1" outline="0" axis="axisRow" fieldPosition="0"/>
    </format>
    <format dxfId="24">
      <pivotArea dataOnly="0" labelOnly="1" fieldPosition="0">
        <references count="1">
          <reference field="10" count="0"/>
        </references>
      </pivotArea>
    </format>
    <format dxfId="23">
      <pivotArea dataOnly="0" labelOnly="1" grandRow="1" outline="0" fieldPosition="0"/>
    </format>
    <format dxfId="22">
      <pivotArea dataOnly="0" labelOnly="1" outline="0" axis="axisValues" fieldPosition="0"/>
    </format>
    <format dxfId="21">
      <pivotArea outline="0" collapsedLevelsAreSubtotals="1" fieldPosition="0"/>
    </format>
    <format dxfId="20">
      <pivotArea dataOnly="0" labelOnly="1" fieldPosition="0">
        <references count="1">
          <reference field="10" count="0"/>
        </references>
      </pivotArea>
    </format>
    <format dxfId="19">
      <pivotArea dataOnly="0" labelOnly="1" grandRow="1" outline="0" fieldPosition="0"/>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outline="0" axis="axisValues" fieldPosition="0"/>
    </format>
    <format dxfId="6">
      <pivotArea collapsedLevelsAreSubtotals="1" fieldPosition="0">
        <references count="1">
          <reference field="10" count="0"/>
        </references>
      </pivotArea>
    </format>
    <format dxfId="5">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B25FA-1C0B-4688-8162-4DE1082C4D85}"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Product_Category">
  <location ref="A2:B8" firstHeaderRow="1" firstDataRow="1" firstDataCol="1"/>
  <pivotFields count="14">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5">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1" format="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41330-355F-425F-8918-8D98CDD127EC}" sourceName="Region">
  <pivotTables>
    <pivotTable tabId="14" name="PivotTable5"/>
    <pivotTable tabId="12" name="PivotTable3"/>
    <pivotTable tabId="9" name="PivotTable1"/>
  </pivotTables>
  <data>
    <tabular pivotCacheId="192365173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20167AB-DA7B-497E-9834-09F08A9167BB}" sourceName="Product_Category">
  <pivotTables>
    <pivotTable tabId="14" name="PivotTable5"/>
    <pivotTable tabId="12" name="PivotTable3"/>
    <pivotTable tabId="9" name="PivotTable1"/>
    <pivotTable tabId="13" name="PivotTable4"/>
    <pivotTable tabId="11" name="PivotTable2"/>
  </pivotTables>
  <data>
    <tabular pivotCacheId="192365173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2CE1D3-3068-46A0-AA71-C20871134A31}" cache="Slicer_Region" caption="Region" rowHeight="234950"/>
  <slicer name="Product_Category" xr10:uid="{21C8AD8A-8636-4EEF-930A-1C15A0C40813}"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E22F7-4E95-4BEF-B76F-01E93DEB94CD}" name="Table3" displayName="Table3" ref="A3:B8" totalsRowShown="0" headerRowDxfId="53" dataDxfId="51" headerRowBorderDxfId="52" tableBorderDxfId="50">
  <autoFilter ref="A3:B8" xr:uid="{BFEE22F7-4E95-4BEF-B76F-01E93DEB94CD}"/>
  <tableColumns count="2">
    <tableColumn id="1" xr3:uid="{C60738F4-ECA5-412B-B9E2-FCCA44F0D078}" name="Regression Statistics" dataDxfId="49"/>
    <tableColumn id="2" xr3:uid="{185A171C-93E8-4288-9FD0-48ECE1DB8996}" name="Column1"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43904-17C7-4619-A09A-DE6A61701BED}" name="Table1" displayName="Table1" ref="A1:L201" totalsRowShown="0" headerRowDxfId="47" dataDxfId="46">
  <autoFilter ref="A1:L201" xr:uid="{7E143904-17C7-4619-A09A-DE6A61701BED}"/>
  <tableColumns count="12">
    <tableColumn id="1" xr3:uid="{AC7644C7-0D03-420A-B8C4-128E3A5AAEED}" name="Customer_ID" dataDxfId="45"/>
    <tableColumn id="2" xr3:uid="{B23542DF-35EF-41E6-85CE-9409CDFB8831}" name="Customer_Name" dataDxfId="44"/>
    <tableColumn id="3" xr3:uid="{35337787-EB13-45FF-A36D-A661AEE63F27}" name="Region" dataDxfId="43"/>
    <tableColumn id="4" xr3:uid="{01FE4C5A-7D2E-4736-9A1F-B4FADCCAA244}" name="Product_Category" dataDxfId="42"/>
    <tableColumn id="5" xr3:uid="{187A0DAA-3AD6-4640-AD1E-21978B287421}" name="Sales" dataDxfId="41"/>
    <tableColumn id="6" xr3:uid="{B1CDD75E-A3EF-4B51-8BBB-C0441352EBD3}" name="Quantity" dataDxfId="40"/>
    <tableColumn id="7" xr3:uid="{846A9922-D7E3-4F76-8005-BD71E6D75057}" name="Discount" dataDxfId="39"/>
    <tableColumn id="8" xr3:uid="{658FEFE0-7B10-4F7E-9751-4C69FB6F49D3}" name="Order_Date" dataDxfId="38"/>
    <tableColumn id="9" xr3:uid="{4D1C3AD1-F3AD-4E67-B901-4AECCF7890DA}" name="Profit" dataDxfId="37"/>
    <tableColumn id="10" xr3:uid="{CB67524C-DC91-42F8-BDFD-DA481C6A42FC}" name="Total Customer Sales" dataDxfId="36">
      <calculatedColumnFormula>SUMIF(B:B,B2,E:E)</calculatedColumnFormula>
    </tableColumn>
    <tableColumn id="11" xr3:uid="{5FB667B8-D0EE-4A0F-B33C-9BFE4A4AC1B8}" name="Month" dataDxfId="35">
      <calculatedColumnFormula>TEXT(H2,"MMM-YYYY")</calculatedColumnFormula>
    </tableColumn>
    <tableColumn id="12" xr3:uid="{37909010-EB5E-4F18-BA98-7C44700DBD25}" name="Timestamp" dataDxfId="34">
      <calculatedColumnFormula>NOW()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6073ED-6774-4A82-A02F-BBF3F700D371}" name="Table2" displayName="Table2" ref="A1:B4" totalsRowShown="0" headerRowDxfId="4" dataDxfId="3">
  <autoFilter ref="A1:B4" xr:uid="{BF6073ED-6774-4A82-A02F-BBF3F700D371}"/>
  <tableColumns count="2">
    <tableColumn id="1" xr3:uid="{9F2CA54F-4361-4527-AB0E-0638B316C8E8}" name="Matrics" dataDxfId="2"/>
    <tableColumn id="2" xr3:uid="{49D08328-D44E-40B7-A967-C842DA55356D}" name="Amoun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12A9D6-BD10-4C62-A394-F0C7F739DB16}" sourceName="Order_Date">
  <pivotTables>
    <pivotTable tabId="13" name="PivotTable4"/>
    <pivotTable tabId="12" name="PivotTable3"/>
    <pivotTable tabId="9" name="PivotTable1"/>
    <pivotTable tabId="14" name="PivotTable5"/>
    <pivotTable tabId="11" name="PivotTable2"/>
  </pivotTables>
  <state minimalRefreshVersion="6" lastRefreshVersion="6" pivotCacheId="192365173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55955EF-49E5-4656-AC6A-048021F8E7EC}" cache="NativeTimeline_Order_Date" caption="Order_Date" level="1" selectionLevel="1" scrollPosition="2024-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abSelected="1"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18" t="s">
        <v>135</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2191-331C-41B3-B0E0-2CE3CF75465F}">
  <dimension ref="A1:V42"/>
  <sheetViews>
    <sheetView zoomScale="65" zoomScaleNormal="69" workbookViewId="0">
      <selection activeCell="AG28" sqref="AG28"/>
    </sheetView>
  </sheetViews>
  <sheetFormatPr defaultRowHeight="14.4" x14ac:dyDescent="0.3"/>
  <cols>
    <col min="5" max="5" width="8.88671875" customWidth="1"/>
    <col min="19" max="19" width="8.88671875" customWidth="1"/>
  </cols>
  <sheetData>
    <row r="1" spans="1:22" ht="14.4" customHeight="1" x14ac:dyDescent="0.3">
      <c r="A1" s="38"/>
      <c r="B1" s="38"/>
      <c r="C1" s="38"/>
      <c r="D1" s="38"/>
      <c r="E1" s="38"/>
      <c r="F1" s="38"/>
      <c r="G1" s="38"/>
      <c r="H1" s="38"/>
      <c r="I1" s="38"/>
      <c r="J1" s="38"/>
      <c r="K1" s="38"/>
      <c r="L1" s="38"/>
      <c r="M1" s="38"/>
      <c r="N1" s="38"/>
      <c r="O1" s="38"/>
      <c r="P1" s="38"/>
      <c r="Q1" s="38"/>
      <c r="R1" s="38"/>
      <c r="S1" s="38"/>
      <c r="T1" s="38"/>
      <c r="U1" s="36"/>
      <c r="V1" s="36"/>
    </row>
    <row r="2" spans="1:22" ht="14.4" customHeight="1" x14ac:dyDescent="0.3">
      <c r="A2" s="38"/>
      <c r="B2" s="38"/>
      <c r="C2" s="38"/>
      <c r="D2" s="38"/>
      <c r="E2" s="38"/>
      <c r="F2" s="38"/>
      <c r="G2" s="38"/>
      <c r="H2" s="38"/>
      <c r="I2" s="38"/>
      <c r="J2" s="38"/>
      <c r="K2" s="38"/>
      <c r="L2" s="38"/>
      <c r="M2" s="38"/>
      <c r="N2" s="38"/>
      <c r="O2" s="38"/>
      <c r="P2" s="38"/>
      <c r="Q2" s="38"/>
      <c r="R2" s="38"/>
      <c r="S2" s="38"/>
      <c r="T2" s="38"/>
      <c r="U2" s="36"/>
      <c r="V2" s="36"/>
    </row>
    <row r="3" spans="1:22" ht="14.4" customHeight="1" x14ac:dyDescent="0.3">
      <c r="A3" s="38"/>
      <c r="B3" s="38"/>
      <c r="C3" s="38"/>
      <c r="D3" s="38"/>
      <c r="E3" s="38"/>
      <c r="F3" s="38"/>
      <c r="G3" s="38"/>
      <c r="H3" s="38"/>
      <c r="I3" s="38"/>
      <c r="J3" s="38"/>
      <c r="K3" s="38"/>
      <c r="L3" s="38"/>
      <c r="M3" s="38"/>
      <c r="N3" s="38"/>
      <c r="O3" s="38"/>
      <c r="P3" s="38"/>
      <c r="Q3" s="38"/>
      <c r="R3" s="38"/>
      <c r="S3" s="38"/>
      <c r="T3" s="38"/>
      <c r="U3" s="36"/>
      <c r="V3" s="36"/>
    </row>
    <row r="4" spans="1:22" x14ac:dyDescent="0.3">
      <c r="A4" s="36"/>
      <c r="B4" s="36"/>
      <c r="C4" s="37"/>
      <c r="D4" s="37"/>
      <c r="E4" s="37"/>
      <c r="F4" s="37"/>
      <c r="G4" s="37"/>
      <c r="H4" s="37"/>
      <c r="I4" s="37"/>
      <c r="J4" s="37"/>
      <c r="K4" s="37"/>
      <c r="L4" s="37"/>
      <c r="M4" s="37"/>
      <c r="N4" s="37"/>
      <c r="O4" s="37"/>
      <c r="P4" s="37"/>
      <c r="Q4" s="37"/>
      <c r="R4" s="37"/>
      <c r="S4" s="37"/>
      <c r="T4" s="37"/>
      <c r="U4" s="36"/>
      <c r="V4" s="36"/>
    </row>
    <row r="5" spans="1:22" x14ac:dyDescent="0.3">
      <c r="A5" s="36"/>
      <c r="B5" s="36"/>
      <c r="C5" s="37"/>
      <c r="D5" s="37"/>
      <c r="E5" s="37"/>
      <c r="F5" s="37"/>
      <c r="G5" s="37"/>
      <c r="H5" s="37"/>
      <c r="I5" s="37"/>
      <c r="J5" s="37"/>
      <c r="K5" s="37"/>
      <c r="L5" s="37"/>
      <c r="M5" s="37"/>
      <c r="N5" s="37"/>
      <c r="O5" s="37"/>
      <c r="P5" s="37"/>
      <c r="Q5" s="37"/>
      <c r="R5" s="37"/>
      <c r="S5" s="37"/>
      <c r="T5" s="37"/>
      <c r="U5" s="36"/>
      <c r="V5" s="36"/>
    </row>
    <row r="6" spans="1:22" x14ac:dyDescent="0.3">
      <c r="A6" s="36"/>
      <c r="B6" s="36"/>
      <c r="C6" s="37"/>
      <c r="D6" s="37"/>
      <c r="E6" s="37"/>
      <c r="F6" s="37"/>
      <c r="G6" s="37"/>
      <c r="H6" s="37"/>
      <c r="I6" s="37"/>
      <c r="J6" s="37"/>
      <c r="K6" s="37"/>
      <c r="L6" s="37"/>
      <c r="M6" s="37"/>
      <c r="N6" s="37"/>
      <c r="O6" s="37"/>
      <c r="P6" s="37"/>
      <c r="Q6" s="37"/>
      <c r="R6" s="37"/>
      <c r="S6" s="37"/>
      <c r="T6" s="37"/>
      <c r="U6" s="36"/>
      <c r="V6" s="36"/>
    </row>
    <row r="7" spans="1:22" x14ac:dyDescent="0.3">
      <c r="A7" s="36"/>
      <c r="B7" s="36"/>
      <c r="C7" s="37"/>
      <c r="D7" s="37"/>
      <c r="E7" s="37"/>
      <c r="F7" s="37"/>
      <c r="G7" s="37"/>
      <c r="H7" s="37"/>
      <c r="I7" s="37"/>
      <c r="J7" s="37"/>
      <c r="K7" s="37"/>
      <c r="L7" s="37"/>
      <c r="M7" s="37"/>
      <c r="N7" s="37"/>
      <c r="O7" s="37"/>
      <c r="P7" s="37"/>
      <c r="Q7" s="37"/>
      <c r="R7" s="37"/>
      <c r="S7" s="37"/>
      <c r="T7" s="37"/>
      <c r="U7" s="36"/>
      <c r="V7" s="36"/>
    </row>
    <row r="8" spans="1:22" x14ac:dyDescent="0.3">
      <c r="A8" s="36"/>
      <c r="B8" s="36"/>
      <c r="C8" s="37"/>
      <c r="D8" s="37"/>
      <c r="E8" s="37"/>
      <c r="F8" s="37"/>
      <c r="G8" s="37"/>
      <c r="H8" s="37"/>
      <c r="I8" s="37"/>
      <c r="J8" s="37"/>
      <c r="K8" s="37"/>
      <c r="L8" s="37"/>
      <c r="M8" s="37"/>
      <c r="N8" s="37"/>
      <c r="O8" s="37"/>
      <c r="P8" s="37"/>
      <c r="Q8" s="37"/>
      <c r="R8" s="37"/>
      <c r="S8" s="37"/>
      <c r="T8" s="37"/>
      <c r="U8" s="36"/>
      <c r="V8" s="36"/>
    </row>
    <row r="9" spans="1:22" x14ac:dyDescent="0.3">
      <c r="A9" s="36"/>
      <c r="B9" s="36"/>
      <c r="C9" s="37"/>
      <c r="D9" s="37"/>
      <c r="E9" s="37"/>
      <c r="F9" s="37"/>
      <c r="G9" s="37"/>
      <c r="H9" s="37"/>
      <c r="I9" s="37"/>
      <c r="J9" s="37"/>
      <c r="K9" s="37"/>
      <c r="L9" s="37"/>
      <c r="M9" s="37"/>
      <c r="N9" s="37"/>
      <c r="O9" s="37"/>
      <c r="P9" s="37"/>
      <c r="Q9" s="37"/>
      <c r="R9" s="37"/>
      <c r="S9" s="37"/>
      <c r="T9" s="37"/>
      <c r="U9" s="36"/>
      <c r="V9" s="36"/>
    </row>
    <row r="10" spans="1:22" x14ac:dyDescent="0.3">
      <c r="A10" s="36"/>
      <c r="B10" s="36"/>
      <c r="C10" s="37"/>
      <c r="D10" s="37"/>
      <c r="E10" s="37"/>
      <c r="F10" s="37"/>
      <c r="G10" s="37"/>
      <c r="H10" s="37"/>
      <c r="I10" s="37"/>
      <c r="J10" s="37"/>
      <c r="K10" s="37"/>
      <c r="L10" s="37"/>
      <c r="M10" s="37"/>
      <c r="N10" s="37"/>
      <c r="O10" s="37"/>
      <c r="P10" s="37"/>
      <c r="Q10" s="37"/>
      <c r="R10" s="37"/>
      <c r="S10" s="37"/>
      <c r="T10" s="37"/>
      <c r="U10" s="36"/>
      <c r="V10" s="36"/>
    </row>
    <row r="11" spans="1:22" x14ac:dyDescent="0.3">
      <c r="A11" s="36"/>
      <c r="B11" s="36"/>
      <c r="C11" s="37"/>
      <c r="D11" s="37"/>
      <c r="E11" s="37"/>
      <c r="F11" s="37"/>
      <c r="G11" s="37"/>
      <c r="H11" s="37"/>
      <c r="I11" s="37"/>
      <c r="J11" s="37"/>
      <c r="K11" s="37"/>
      <c r="L11" s="37"/>
      <c r="M11" s="37"/>
      <c r="N11" s="37"/>
      <c r="O11" s="37"/>
      <c r="P11" s="37"/>
      <c r="Q11" s="37"/>
      <c r="R11" s="37"/>
      <c r="S11" s="37"/>
      <c r="T11" s="37"/>
      <c r="U11" s="36"/>
      <c r="V11" s="36"/>
    </row>
    <row r="12" spans="1:22" x14ac:dyDescent="0.3">
      <c r="A12" s="36"/>
      <c r="B12" s="36"/>
      <c r="C12" s="37"/>
      <c r="D12" s="37"/>
      <c r="E12" s="37"/>
      <c r="F12" s="37"/>
      <c r="G12" s="37"/>
      <c r="H12" s="37"/>
      <c r="I12" s="37"/>
      <c r="J12" s="37"/>
      <c r="K12" s="37"/>
      <c r="L12" s="37"/>
      <c r="M12" s="37"/>
      <c r="N12" s="37"/>
      <c r="O12" s="37"/>
      <c r="P12" s="37"/>
      <c r="Q12" s="37"/>
      <c r="R12" s="37"/>
      <c r="S12" s="37"/>
      <c r="T12" s="37"/>
      <c r="U12" s="36"/>
      <c r="V12" s="36"/>
    </row>
    <row r="13" spans="1:22" x14ac:dyDescent="0.3">
      <c r="A13" s="36"/>
      <c r="B13" s="36"/>
      <c r="C13" s="37"/>
      <c r="D13" s="37"/>
      <c r="E13" s="37"/>
      <c r="F13" s="37"/>
      <c r="G13" s="37"/>
      <c r="H13" s="37"/>
      <c r="I13" s="37"/>
      <c r="J13" s="37"/>
      <c r="K13" s="37"/>
      <c r="L13" s="37"/>
      <c r="M13" s="37"/>
      <c r="N13" s="37"/>
      <c r="O13" s="37"/>
      <c r="P13" s="37"/>
      <c r="Q13" s="37"/>
      <c r="R13" s="37"/>
      <c r="S13" s="37"/>
      <c r="T13" s="37"/>
      <c r="U13" s="36"/>
      <c r="V13" s="36"/>
    </row>
    <row r="14" spans="1:22" x14ac:dyDescent="0.3">
      <c r="A14" s="36"/>
      <c r="B14" s="36"/>
      <c r="C14" s="37"/>
      <c r="D14" s="37"/>
      <c r="E14" s="37"/>
      <c r="F14" s="37"/>
      <c r="G14" s="37"/>
      <c r="H14" s="37"/>
      <c r="I14" s="37"/>
      <c r="J14" s="37"/>
      <c r="K14" s="37"/>
      <c r="L14" s="37"/>
      <c r="M14" s="37"/>
      <c r="N14" s="37"/>
      <c r="O14" s="37"/>
      <c r="P14" s="37"/>
      <c r="Q14" s="37"/>
      <c r="R14" s="37"/>
      <c r="S14" s="37"/>
      <c r="T14" s="37"/>
      <c r="U14" s="36"/>
      <c r="V14" s="36"/>
    </row>
    <row r="15" spans="1:22" x14ac:dyDescent="0.3">
      <c r="A15" s="36"/>
      <c r="B15" s="36"/>
      <c r="C15" s="37"/>
      <c r="D15" s="37"/>
      <c r="E15" s="37"/>
      <c r="F15" s="37"/>
      <c r="G15" s="37"/>
      <c r="H15" s="37"/>
      <c r="I15" s="37"/>
      <c r="J15" s="37"/>
      <c r="K15" s="37"/>
      <c r="L15" s="37"/>
      <c r="M15" s="37"/>
      <c r="N15" s="37"/>
      <c r="O15" s="37"/>
      <c r="P15" s="37"/>
      <c r="Q15" s="37"/>
      <c r="R15" s="37"/>
      <c r="S15" s="37"/>
      <c r="T15" s="37"/>
      <c r="U15" s="36"/>
      <c r="V15" s="36"/>
    </row>
    <row r="16" spans="1:22" x14ac:dyDescent="0.3">
      <c r="A16" s="36"/>
      <c r="B16" s="36"/>
      <c r="C16" s="37"/>
      <c r="D16" s="37"/>
      <c r="E16" s="37"/>
      <c r="F16" s="37"/>
      <c r="G16" s="37"/>
      <c r="H16" s="37"/>
      <c r="I16" s="37"/>
      <c r="J16" s="37"/>
      <c r="K16" s="37"/>
      <c r="L16" s="37"/>
      <c r="M16" s="37"/>
      <c r="N16" s="37"/>
      <c r="O16" s="37"/>
      <c r="P16" s="37"/>
      <c r="Q16" s="37"/>
      <c r="R16" s="37"/>
      <c r="S16" s="37"/>
      <c r="T16" s="37"/>
      <c r="U16" s="36"/>
      <c r="V16" s="36"/>
    </row>
    <row r="17" spans="1:22" x14ac:dyDescent="0.3">
      <c r="A17" s="36"/>
      <c r="B17" s="36"/>
      <c r="C17" s="37"/>
      <c r="D17" s="37"/>
      <c r="E17" s="37"/>
      <c r="F17" s="37"/>
      <c r="G17" s="37"/>
      <c r="H17" s="37"/>
      <c r="I17" s="37"/>
      <c r="J17" s="37"/>
      <c r="K17" s="37"/>
      <c r="L17" s="37"/>
      <c r="M17" s="37"/>
      <c r="N17" s="37"/>
      <c r="O17" s="37"/>
      <c r="P17" s="37"/>
      <c r="Q17" s="37"/>
      <c r="R17" s="37"/>
      <c r="S17" s="37"/>
      <c r="T17" s="37"/>
      <c r="U17" s="36"/>
      <c r="V17" s="36"/>
    </row>
    <row r="18" spans="1:22" x14ac:dyDescent="0.3">
      <c r="A18" s="36"/>
      <c r="B18" s="36"/>
      <c r="C18" s="37"/>
      <c r="D18" s="37"/>
      <c r="E18" s="37"/>
      <c r="F18" s="37"/>
      <c r="G18" s="37"/>
      <c r="H18" s="37"/>
      <c r="I18" s="37"/>
      <c r="J18" s="37"/>
      <c r="K18" s="37"/>
      <c r="L18" s="37"/>
      <c r="M18" s="37"/>
      <c r="N18" s="37"/>
      <c r="O18" s="37"/>
      <c r="P18" s="37"/>
      <c r="Q18" s="37"/>
      <c r="R18" s="37"/>
      <c r="S18" s="37"/>
      <c r="T18" s="37"/>
      <c r="U18" s="36"/>
      <c r="V18" s="36"/>
    </row>
    <row r="19" spans="1:22" x14ac:dyDescent="0.3">
      <c r="A19" s="36"/>
      <c r="B19" s="36"/>
      <c r="C19" s="37"/>
      <c r="D19" s="37"/>
      <c r="E19" s="37"/>
      <c r="F19" s="37"/>
      <c r="G19" s="37"/>
      <c r="H19" s="37"/>
      <c r="I19" s="37"/>
      <c r="J19" s="37"/>
      <c r="K19" s="37"/>
      <c r="L19" s="37"/>
      <c r="M19" s="37"/>
      <c r="N19" s="37"/>
      <c r="O19" s="37"/>
      <c r="P19" s="37"/>
      <c r="Q19" s="37"/>
      <c r="R19" s="37"/>
      <c r="S19" s="37"/>
      <c r="T19" s="37"/>
      <c r="U19" s="36"/>
      <c r="V19" s="36"/>
    </row>
    <row r="20" spans="1:22" x14ac:dyDescent="0.3">
      <c r="A20" s="36"/>
      <c r="B20" s="36"/>
      <c r="C20" s="37"/>
      <c r="D20" s="37"/>
      <c r="E20" s="37"/>
      <c r="F20" s="37"/>
      <c r="G20" s="37"/>
      <c r="H20" s="37"/>
      <c r="I20" s="37"/>
      <c r="J20" s="37"/>
      <c r="K20" s="37"/>
      <c r="L20" s="37"/>
      <c r="M20" s="37"/>
      <c r="N20" s="37"/>
      <c r="O20" s="37"/>
      <c r="P20" s="37"/>
      <c r="Q20" s="37"/>
      <c r="R20" s="37"/>
      <c r="S20" s="37"/>
      <c r="T20" s="37"/>
      <c r="U20" s="36"/>
      <c r="V20" s="36"/>
    </row>
    <row r="21" spans="1:22" x14ac:dyDescent="0.3">
      <c r="A21" s="36"/>
      <c r="B21" s="36"/>
      <c r="C21" s="37"/>
      <c r="D21" s="37"/>
      <c r="E21" s="37"/>
      <c r="F21" s="37"/>
      <c r="G21" s="37"/>
      <c r="H21" s="37"/>
      <c r="I21" s="37"/>
      <c r="J21" s="37"/>
      <c r="K21" s="37"/>
      <c r="L21" s="37"/>
      <c r="M21" s="37"/>
      <c r="N21" s="37"/>
      <c r="O21" s="37"/>
      <c r="P21" s="37"/>
      <c r="Q21" s="37"/>
      <c r="R21" s="37"/>
      <c r="S21" s="37"/>
      <c r="T21" s="37"/>
      <c r="U21" s="36"/>
      <c r="V21" s="36"/>
    </row>
    <row r="22" spans="1:22" x14ac:dyDescent="0.3">
      <c r="A22" s="36"/>
      <c r="B22" s="36"/>
      <c r="C22" s="37"/>
      <c r="D22" s="37"/>
      <c r="E22" s="37"/>
      <c r="F22" s="37"/>
      <c r="G22" s="37"/>
      <c r="H22" s="37"/>
      <c r="I22" s="37"/>
      <c r="J22" s="37"/>
      <c r="K22" s="37"/>
      <c r="L22" s="37"/>
      <c r="M22" s="37"/>
      <c r="N22" s="37"/>
      <c r="O22" s="37"/>
      <c r="P22" s="37"/>
      <c r="Q22" s="37"/>
      <c r="R22" s="37"/>
      <c r="S22" s="37"/>
      <c r="T22" s="37"/>
      <c r="U22" s="36"/>
      <c r="V22" s="36"/>
    </row>
    <row r="23" spans="1:22" x14ac:dyDescent="0.3">
      <c r="A23" s="36"/>
      <c r="B23" s="36"/>
      <c r="C23" s="37"/>
      <c r="D23" s="37"/>
      <c r="E23" s="37"/>
      <c r="F23" s="37"/>
      <c r="G23" s="37"/>
      <c r="H23" s="37"/>
      <c r="I23" s="37"/>
      <c r="J23" s="37"/>
      <c r="K23" s="37"/>
      <c r="L23" s="37"/>
      <c r="M23" s="37"/>
      <c r="N23" s="37"/>
      <c r="O23" s="37"/>
      <c r="P23" s="37"/>
      <c r="Q23" s="37"/>
      <c r="R23" s="37"/>
      <c r="S23" s="37"/>
      <c r="T23" s="37"/>
      <c r="U23" s="36"/>
      <c r="V23" s="36"/>
    </row>
    <row r="24" spans="1:22" x14ac:dyDescent="0.3">
      <c r="A24" s="36"/>
      <c r="B24" s="36"/>
      <c r="C24" s="37"/>
      <c r="D24" s="37"/>
      <c r="E24" s="37"/>
      <c r="F24" s="37"/>
      <c r="G24" s="37"/>
      <c r="H24" s="37"/>
      <c r="I24" s="37"/>
      <c r="J24" s="37"/>
      <c r="K24" s="37"/>
      <c r="L24" s="37"/>
      <c r="M24" s="37"/>
      <c r="N24" s="37"/>
      <c r="O24" s="37"/>
      <c r="P24" s="37"/>
      <c r="Q24" s="37"/>
      <c r="R24" s="37"/>
      <c r="S24" s="37"/>
      <c r="T24" s="37"/>
      <c r="U24" s="36"/>
      <c r="V24" s="36"/>
    </row>
    <row r="25" spans="1:22" x14ac:dyDescent="0.3">
      <c r="A25" s="36"/>
      <c r="B25" s="36"/>
      <c r="C25" s="37"/>
      <c r="D25" s="37"/>
      <c r="E25" s="37"/>
      <c r="F25" s="37"/>
      <c r="G25" s="37"/>
      <c r="H25" s="37"/>
      <c r="I25" s="37"/>
      <c r="J25" s="37"/>
      <c r="K25" s="37"/>
      <c r="L25" s="37"/>
      <c r="M25" s="37"/>
      <c r="N25" s="37"/>
      <c r="O25" s="37"/>
      <c r="P25" s="37"/>
      <c r="Q25" s="37"/>
      <c r="R25" s="37"/>
      <c r="S25" s="37"/>
      <c r="T25" s="37"/>
      <c r="U25" s="36"/>
      <c r="V25" s="36"/>
    </row>
    <row r="26" spans="1:22" x14ac:dyDescent="0.3">
      <c r="A26" s="36"/>
      <c r="B26" s="36"/>
      <c r="C26" s="37"/>
      <c r="D26" s="37"/>
      <c r="E26" s="37"/>
      <c r="F26" s="37"/>
      <c r="G26" s="37"/>
      <c r="H26" s="37"/>
      <c r="I26" s="37"/>
      <c r="J26" s="37"/>
      <c r="K26" s="37"/>
      <c r="L26" s="37"/>
      <c r="M26" s="37"/>
      <c r="N26" s="37"/>
      <c r="O26" s="37"/>
      <c r="P26" s="37"/>
      <c r="Q26" s="37"/>
      <c r="R26" s="37"/>
      <c r="S26" s="37"/>
      <c r="T26" s="37"/>
      <c r="U26" s="36"/>
      <c r="V26" s="36"/>
    </row>
    <row r="27" spans="1:22" x14ac:dyDescent="0.3">
      <c r="A27" s="36"/>
      <c r="B27" s="36"/>
      <c r="C27" s="37"/>
      <c r="D27" s="37"/>
      <c r="E27" s="37"/>
      <c r="F27" s="37"/>
      <c r="G27" s="37"/>
      <c r="H27" s="37"/>
      <c r="I27" s="37"/>
      <c r="J27" s="37"/>
      <c r="K27" s="37"/>
      <c r="L27" s="37"/>
      <c r="M27" s="37"/>
      <c r="N27" s="37"/>
      <c r="O27" s="37"/>
      <c r="P27" s="37"/>
      <c r="Q27" s="37"/>
      <c r="R27" s="37"/>
      <c r="S27" s="37"/>
      <c r="T27" s="37"/>
      <c r="U27" s="36"/>
      <c r="V27" s="36"/>
    </row>
    <row r="28" spans="1:22" x14ac:dyDescent="0.3">
      <c r="A28" s="36"/>
      <c r="B28" s="36"/>
      <c r="C28" s="37"/>
      <c r="D28" s="37"/>
      <c r="E28" s="37"/>
      <c r="F28" s="37"/>
      <c r="G28" s="37"/>
      <c r="H28" s="37"/>
      <c r="I28" s="37"/>
      <c r="J28" s="37"/>
      <c r="K28" s="37"/>
      <c r="L28" s="37"/>
      <c r="M28" s="37"/>
      <c r="N28" s="37"/>
      <c r="O28" s="37"/>
      <c r="P28" s="37"/>
      <c r="Q28" s="37"/>
      <c r="R28" s="37"/>
      <c r="S28" s="37"/>
      <c r="T28" s="37"/>
      <c r="U28" s="36"/>
      <c r="V28" s="36"/>
    </row>
    <row r="29" spans="1:22" x14ac:dyDescent="0.3">
      <c r="A29" s="36"/>
      <c r="B29" s="36"/>
      <c r="C29" s="37"/>
      <c r="D29" s="37"/>
      <c r="E29" s="37"/>
      <c r="F29" s="37"/>
      <c r="G29" s="37"/>
      <c r="H29" s="37"/>
      <c r="I29" s="37"/>
      <c r="J29" s="37"/>
      <c r="K29" s="37"/>
      <c r="L29" s="37"/>
      <c r="M29" s="37"/>
      <c r="N29" s="37"/>
      <c r="O29" s="37"/>
      <c r="P29" s="37"/>
      <c r="Q29" s="37"/>
      <c r="R29" s="37"/>
      <c r="S29" s="37"/>
      <c r="T29" s="37"/>
      <c r="U29" s="36"/>
      <c r="V29" s="36"/>
    </row>
    <row r="30" spans="1:22" x14ac:dyDescent="0.3">
      <c r="A30" s="36"/>
      <c r="B30" s="36"/>
      <c r="C30" s="37"/>
      <c r="D30" s="37"/>
      <c r="E30" s="37"/>
      <c r="F30" s="37"/>
      <c r="G30" s="37"/>
      <c r="H30" s="37"/>
      <c r="I30" s="37"/>
      <c r="J30" s="37"/>
      <c r="K30" s="37"/>
      <c r="L30" s="37"/>
      <c r="M30" s="37"/>
      <c r="N30" s="37"/>
      <c r="O30" s="37"/>
      <c r="P30" s="37"/>
      <c r="Q30" s="37"/>
      <c r="R30" s="37"/>
      <c r="S30" s="37"/>
      <c r="T30" s="37"/>
      <c r="U30" s="36"/>
      <c r="V30" s="36"/>
    </row>
    <row r="31" spans="1:22" x14ac:dyDescent="0.3">
      <c r="A31" s="36"/>
      <c r="B31" s="36"/>
      <c r="C31" s="37"/>
      <c r="D31" s="37"/>
      <c r="E31" s="37"/>
      <c r="F31" s="37"/>
      <c r="G31" s="37"/>
      <c r="H31" s="37"/>
      <c r="I31" s="37"/>
      <c r="J31" s="37"/>
      <c r="K31" s="37"/>
      <c r="L31" s="37"/>
      <c r="M31" s="37"/>
      <c r="N31" s="37"/>
      <c r="O31" s="37"/>
      <c r="P31" s="37"/>
      <c r="Q31" s="37"/>
      <c r="R31" s="37"/>
      <c r="S31" s="37"/>
      <c r="T31" s="37"/>
      <c r="U31" s="36"/>
      <c r="V31" s="36"/>
    </row>
    <row r="32" spans="1:22" x14ac:dyDescent="0.3">
      <c r="A32" s="36"/>
      <c r="B32" s="36"/>
      <c r="C32" s="37"/>
      <c r="D32" s="37"/>
      <c r="E32" s="37"/>
      <c r="F32" s="37"/>
      <c r="G32" s="37"/>
      <c r="H32" s="37"/>
      <c r="I32" s="37"/>
      <c r="J32" s="37"/>
      <c r="K32" s="37"/>
      <c r="L32" s="37"/>
      <c r="M32" s="37"/>
      <c r="N32" s="37"/>
      <c r="O32" s="37"/>
      <c r="P32" s="37"/>
      <c r="Q32" s="37"/>
      <c r="R32" s="37"/>
      <c r="S32" s="37"/>
      <c r="T32" s="37"/>
      <c r="U32" s="36"/>
      <c r="V32" s="36"/>
    </row>
    <row r="33" spans="1:22" x14ac:dyDescent="0.3">
      <c r="A33" s="36"/>
      <c r="B33" s="36"/>
      <c r="C33" s="37"/>
      <c r="D33" s="37"/>
      <c r="E33" s="37"/>
      <c r="F33" s="37"/>
      <c r="G33" s="37"/>
      <c r="H33" s="37"/>
      <c r="I33" s="37"/>
      <c r="J33" s="37"/>
      <c r="K33" s="37"/>
      <c r="L33" s="37"/>
      <c r="M33" s="37"/>
      <c r="N33" s="37"/>
      <c r="O33" s="37"/>
      <c r="P33" s="37"/>
      <c r="Q33" s="37"/>
      <c r="R33" s="37"/>
      <c r="S33" s="37"/>
      <c r="T33" s="37"/>
      <c r="U33" s="36"/>
      <c r="V33" s="36"/>
    </row>
    <row r="34" spans="1:22" x14ac:dyDescent="0.3">
      <c r="A34" s="36"/>
      <c r="B34" s="36"/>
      <c r="C34" s="37"/>
      <c r="D34" s="37"/>
      <c r="E34" s="37"/>
      <c r="F34" s="37"/>
      <c r="G34" s="37"/>
      <c r="H34" s="37"/>
      <c r="I34" s="37"/>
      <c r="J34" s="37"/>
      <c r="K34" s="37"/>
      <c r="L34" s="37"/>
      <c r="M34" s="37"/>
      <c r="N34" s="37"/>
      <c r="O34" s="37"/>
      <c r="P34" s="37"/>
      <c r="Q34" s="37"/>
      <c r="R34" s="37"/>
      <c r="S34" s="37"/>
      <c r="T34" s="37"/>
      <c r="U34" s="36"/>
      <c r="V34" s="36"/>
    </row>
    <row r="35" spans="1:22" x14ac:dyDescent="0.3">
      <c r="A35" s="36"/>
      <c r="B35" s="36"/>
      <c r="C35" s="37"/>
      <c r="D35" s="37"/>
      <c r="E35" s="37"/>
      <c r="F35" s="37"/>
      <c r="G35" s="37"/>
      <c r="H35" s="37"/>
      <c r="I35" s="37"/>
      <c r="J35" s="37"/>
      <c r="K35" s="37"/>
      <c r="L35" s="37"/>
      <c r="M35" s="37"/>
      <c r="N35" s="37"/>
      <c r="O35" s="37"/>
      <c r="P35" s="37"/>
      <c r="Q35" s="37"/>
      <c r="R35" s="37"/>
      <c r="S35" s="37"/>
      <c r="T35" s="37"/>
      <c r="U35" s="36"/>
      <c r="V35" s="36"/>
    </row>
    <row r="36" spans="1:22" x14ac:dyDescent="0.3">
      <c r="A36" s="36"/>
      <c r="B36" s="36"/>
      <c r="C36" s="37"/>
      <c r="D36" s="37"/>
      <c r="E36" s="37"/>
      <c r="F36" s="37"/>
      <c r="G36" s="37"/>
      <c r="H36" s="37"/>
      <c r="I36" s="37"/>
      <c r="J36" s="37"/>
      <c r="K36" s="37"/>
      <c r="L36" s="37"/>
      <c r="M36" s="37"/>
      <c r="N36" s="37"/>
      <c r="O36" s="37"/>
      <c r="P36" s="37"/>
      <c r="Q36" s="37"/>
      <c r="R36" s="37"/>
      <c r="S36" s="37"/>
      <c r="T36" s="37"/>
      <c r="U36" s="36"/>
      <c r="V36" s="36"/>
    </row>
    <row r="37" spans="1:22" x14ac:dyDescent="0.3">
      <c r="A37" s="36"/>
      <c r="B37" s="36"/>
      <c r="C37" s="37"/>
      <c r="D37" s="37"/>
      <c r="E37" s="37"/>
      <c r="F37" s="37"/>
      <c r="G37" s="37"/>
      <c r="H37" s="37"/>
      <c r="I37" s="37"/>
      <c r="J37" s="37"/>
      <c r="K37" s="37"/>
      <c r="L37" s="37"/>
      <c r="M37" s="37"/>
      <c r="N37" s="37"/>
      <c r="O37" s="37"/>
      <c r="P37" s="37"/>
      <c r="Q37" s="37"/>
      <c r="R37" s="37"/>
      <c r="S37" s="37"/>
      <c r="T37" s="37"/>
      <c r="U37" s="36"/>
      <c r="V37" s="36"/>
    </row>
    <row r="38" spans="1:22" x14ac:dyDescent="0.3">
      <c r="A38" s="36"/>
      <c r="B38" s="36"/>
      <c r="C38" s="37"/>
      <c r="D38" s="37"/>
      <c r="E38" s="37"/>
      <c r="F38" s="37"/>
      <c r="G38" s="37"/>
      <c r="H38" s="37"/>
      <c r="I38" s="37"/>
      <c r="J38" s="37"/>
      <c r="K38" s="37"/>
      <c r="L38" s="37"/>
      <c r="M38" s="37"/>
      <c r="N38" s="37"/>
      <c r="O38" s="37"/>
      <c r="P38" s="37"/>
      <c r="Q38" s="37"/>
      <c r="R38" s="37"/>
      <c r="S38" s="37"/>
      <c r="T38" s="37"/>
      <c r="U38" s="35"/>
      <c r="V38" s="35"/>
    </row>
    <row r="39" spans="1:22" x14ac:dyDescent="0.3">
      <c r="A39" s="36"/>
      <c r="B39" s="36"/>
      <c r="C39" s="37"/>
      <c r="D39" s="37"/>
      <c r="E39" s="37"/>
      <c r="F39" s="37"/>
      <c r="G39" s="37"/>
      <c r="H39" s="37"/>
      <c r="I39" s="37"/>
      <c r="J39" s="37"/>
      <c r="K39" s="37"/>
      <c r="L39" s="37"/>
      <c r="M39" s="37"/>
      <c r="N39" s="37"/>
      <c r="O39" s="37"/>
      <c r="P39" s="37"/>
      <c r="Q39" s="37"/>
      <c r="R39" s="37"/>
      <c r="S39" s="37"/>
      <c r="T39" s="37"/>
      <c r="U39" s="35"/>
      <c r="V39" s="35"/>
    </row>
    <row r="40" spans="1:22" x14ac:dyDescent="0.3">
      <c r="A40" s="36"/>
      <c r="B40" s="36"/>
      <c r="C40" s="36"/>
      <c r="D40" s="36"/>
      <c r="E40" s="36"/>
      <c r="F40" s="36"/>
      <c r="G40" s="36"/>
      <c r="H40" s="36"/>
      <c r="I40" s="36"/>
      <c r="J40" s="36"/>
      <c r="K40" s="36"/>
      <c r="L40" s="36"/>
      <c r="M40" s="36"/>
      <c r="N40" s="36"/>
      <c r="O40" s="36"/>
      <c r="P40" s="36"/>
      <c r="Q40" s="36"/>
      <c r="R40" s="36"/>
      <c r="S40" s="36"/>
      <c r="T40" s="36"/>
      <c r="U40" s="35"/>
      <c r="V40" s="35"/>
    </row>
    <row r="41" spans="1:22" x14ac:dyDescent="0.3">
      <c r="A41" s="36"/>
      <c r="B41" s="36"/>
      <c r="C41" s="36"/>
      <c r="D41" s="36"/>
      <c r="E41" s="36"/>
      <c r="F41" s="36"/>
      <c r="G41" s="36"/>
      <c r="H41" s="36"/>
      <c r="I41" s="36"/>
      <c r="J41" s="36"/>
      <c r="K41" s="36"/>
      <c r="L41" s="36"/>
      <c r="M41" s="36"/>
      <c r="N41" s="36"/>
      <c r="O41" s="36"/>
      <c r="P41" s="36"/>
      <c r="Q41" s="36"/>
      <c r="R41" s="36"/>
      <c r="S41" s="36"/>
      <c r="T41" s="36"/>
      <c r="U41" s="35"/>
      <c r="V41" s="35"/>
    </row>
    <row r="42" spans="1:22" x14ac:dyDescent="0.3">
      <c r="A42" s="36"/>
      <c r="B42" s="36"/>
      <c r="C42" s="36"/>
      <c r="D42" s="36"/>
      <c r="E42" s="36"/>
      <c r="F42" s="36"/>
      <c r="G42" s="36"/>
      <c r="H42" s="36"/>
      <c r="I42" s="36"/>
      <c r="J42" s="36"/>
      <c r="K42" s="36"/>
      <c r="L42" s="36"/>
      <c r="M42" s="36"/>
      <c r="N42" s="36"/>
      <c r="O42" s="36"/>
      <c r="P42" s="36"/>
      <c r="Q42" s="36"/>
      <c r="R42" s="36"/>
      <c r="S42" s="36"/>
      <c r="T42" s="36"/>
      <c r="U42" s="35"/>
      <c r="V42" s="35"/>
    </row>
  </sheetData>
  <mergeCells count="7">
    <mergeCell ref="U1:V37"/>
    <mergeCell ref="A38:B42"/>
    <mergeCell ref="C41:T42"/>
    <mergeCell ref="C40:T40"/>
    <mergeCell ref="C4:T39"/>
    <mergeCell ref="A4:B37"/>
    <mergeCell ref="A1: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7780-6792-4133-91A7-0B1A672B830E}">
  <dimension ref="A1:B4"/>
  <sheetViews>
    <sheetView workbookViewId="0">
      <selection activeCell="B3" sqref="B3"/>
    </sheetView>
  </sheetViews>
  <sheetFormatPr defaultRowHeight="14.4" x14ac:dyDescent="0.3"/>
  <cols>
    <col min="1" max="2" width="12.33203125" customWidth="1"/>
  </cols>
  <sheetData>
    <row r="1" spans="1:2" x14ac:dyDescent="0.3">
      <c r="A1" t="s">
        <v>138</v>
      </c>
      <c r="B1" t="str">
        <f>TEXT(Pivot_Region!B8,"₹ #,##0.00")</f>
        <v>₹ 1,95,217.76</v>
      </c>
    </row>
    <row r="2" spans="1:2" x14ac:dyDescent="0.3">
      <c r="A2" t="s">
        <v>159</v>
      </c>
      <c r="B2" t="str">
        <f>INDEX(Pivot_Region!A3:A7,MATCH(MAX(Pivot_Region!B3:B7),Pivot_Region!B3:B7,0))</f>
        <v>West</v>
      </c>
    </row>
    <row r="3" spans="1:2" x14ac:dyDescent="0.3">
      <c r="A3" t="s">
        <v>160</v>
      </c>
      <c r="B3" t="str">
        <f>INDEX('Product Performance'!A3:A7,MATCH(MAX('Product Performance'!B3:B7),'Product Performance'!B3:B7,0))</f>
        <v>Books</v>
      </c>
    </row>
    <row r="4" spans="1:2" x14ac:dyDescent="0.3">
      <c r="A4" t="s">
        <v>161</v>
      </c>
      <c r="B4" t="str">
        <f>TEXT(MAX('Product Performance'!B3:B7),"₹ #,##0.00")</f>
        <v>₹ 47,002.46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5A3F-6701-4635-8214-5ED9554423A5}">
  <dimension ref="A1:I69"/>
  <sheetViews>
    <sheetView workbookViewId="0">
      <selection activeCell="O58" sqref="O58"/>
    </sheetView>
  </sheetViews>
  <sheetFormatPr defaultRowHeight="14.4" x14ac:dyDescent="0.3"/>
  <cols>
    <col min="1" max="1" width="21.109375" style="14" customWidth="1"/>
    <col min="2" max="2" width="22.6640625" style="14" customWidth="1"/>
    <col min="3" max="3" width="19.5546875" style="14" customWidth="1"/>
    <col min="4" max="6" width="8.88671875" style="14"/>
    <col min="7" max="7" width="12.33203125" style="14" customWidth="1"/>
    <col min="8" max="8" width="8.88671875" style="14"/>
    <col min="9" max="9" width="20.88671875" style="14" customWidth="1"/>
    <col min="10" max="16384" width="8.88671875" style="14"/>
  </cols>
  <sheetData>
    <row r="1" spans="1:9" x14ac:dyDescent="0.3">
      <c r="A1" s="28" t="s">
        <v>137</v>
      </c>
      <c r="B1" s="27" t="s">
        <v>15</v>
      </c>
    </row>
    <row r="2" spans="1:9" x14ac:dyDescent="0.3">
      <c r="A2" s="28" t="s">
        <v>138</v>
      </c>
      <c r="B2" s="26">
        <f>INDEX(Dataset!J:J,MATCH(B1,Dataset!B:B,0))</f>
        <v>8331.8499999999985</v>
      </c>
    </row>
    <row r="6" spans="1:9" x14ac:dyDescent="0.3">
      <c r="A6" s="39" t="s">
        <v>139</v>
      </c>
      <c r="B6" s="40"/>
      <c r="C6" s="40"/>
      <c r="D6" s="40"/>
      <c r="E6" s="40"/>
      <c r="F6" s="40"/>
      <c r="G6" s="40"/>
      <c r="H6" s="40"/>
      <c r="I6" s="40"/>
    </row>
    <row r="7" spans="1:9" x14ac:dyDescent="0.3">
      <c r="A7" s="29" t="str" cm="1">
        <f t="array" ref="A7:I69">_xlfn.VSTACK(Dataset!B1:J1,_xlfn._xlws.FILTER(Dataset!B2:J201,Dataset!J2:J201&gt;10000,"No High Value Customer"))</f>
        <v>Customer_Name</v>
      </c>
      <c r="B7" s="29" t="str">
        <v>Region</v>
      </c>
      <c r="C7" s="29" t="str">
        <v>Product_Category</v>
      </c>
      <c r="D7" s="29" t="str">
        <v>Sales</v>
      </c>
      <c r="E7" s="29" t="str">
        <v>Quantity</v>
      </c>
      <c r="F7" s="29" t="str">
        <v>Discount</v>
      </c>
      <c r="G7" s="29" t="str">
        <v>Order_Date</v>
      </c>
      <c r="H7" s="29" t="str">
        <v>Profit</v>
      </c>
      <c r="I7" s="29" t="str">
        <v>Total Customer Sales</v>
      </c>
    </row>
    <row r="8" spans="1:9" x14ac:dyDescent="0.3">
      <c r="A8" s="17" t="str">
        <v>James Wilson</v>
      </c>
      <c r="B8" s="17" t="str">
        <v>North</v>
      </c>
      <c r="C8" s="17" t="str">
        <v>Books</v>
      </c>
      <c r="D8" s="17">
        <v>847</v>
      </c>
      <c r="E8" s="17">
        <v>12</v>
      </c>
      <c r="F8" s="17">
        <v>0.2</v>
      </c>
      <c r="G8" s="17">
        <v>45397</v>
      </c>
      <c r="H8" s="17">
        <v>271.04000000000002</v>
      </c>
      <c r="I8" s="17">
        <v>20774.739999999998</v>
      </c>
    </row>
    <row r="9" spans="1:9" x14ac:dyDescent="0.3">
      <c r="A9" s="17" t="str">
        <v>Mary Davis</v>
      </c>
      <c r="B9" s="17" t="str">
        <v>East</v>
      </c>
      <c r="C9" s="17" t="str">
        <v>Furniture</v>
      </c>
      <c r="D9" s="17">
        <v>1074.47</v>
      </c>
      <c r="E9" s="17">
        <v>6</v>
      </c>
      <c r="F9" s="17">
        <v>0.2</v>
      </c>
      <c r="G9" s="17">
        <v>45401</v>
      </c>
      <c r="H9" s="17">
        <v>300.85000000000002</v>
      </c>
      <c r="I9" s="17">
        <v>17143.289999999997</v>
      </c>
    </row>
    <row r="10" spans="1:9" x14ac:dyDescent="0.3">
      <c r="A10" s="17" t="str">
        <v>Emma Davis</v>
      </c>
      <c r="B10" s="17" t="str">
        <v>West</v>
      </c>
      <c r="C10" s="17" t="str">
        <v>Office Supplies</v>
      </c>
      <c r="D10" s="17">
        <v>1572.82</v>
      </c>
      <c r="E10" s="17">
        <v>6</v>
      </c>
      <c r="F10" s="17">
        <v>0.05</v>
      </c>
      <c r="G10" s="17">
        <v>45402</v>
      </c>
      <c r="H10" s="17">
        <v>672.38</v>
      </c>
      <c r="I10" s="17">
        <v>11398.32</v>
      </c>
    </row>
    <row r="11" spans="1:9" x14ac:dyDescent="0.3">
      <c r="A11" s="17" t="str">
        <v>Mary Davis</v>
      </c>
      <c r="B11" s="17" t="str">
        <v>Central</v>
      </c>
      <c r="C11" s="17" t="str">
        <v>Electronics</v>
      </c>
      <c r="D11" s="17">
        <v>645.02</v>
      </c>
      <c r="E11" s="17">
        <v>4</v>
      </c>
      <c r="F11" s="17">
        <v>0</v>
      </c>
      <c r="G11" s="17">
        <v>45414</v>
      </c>
      <c r="H11" s="17">
        <v>161.26</v>
      </c>
      <c r="I11" s="17">
        <v>17143.289999999997</v>
      </c>
    </row>
    <row r="12" spans="1:9" x14ac:dyDescent="0.3">
      <c r="A12" s="17" t="str">
        <v>Mary Davis</v>
      </c>
      <c r="B12" s="17" t="str">
        <v>West</v>
      </c>
      <c r="C12" s="17" t="str">
        <v>Books</v>
      </c>
      <c r="D12" s="17">
        <v>743.17</v>
      </c>
      <c r="E12" s="17">
        <v>9</v>
      </c>
      <c r="F12" s="17">
        <v>0</v>
      </c>
      <c r="G12" s="17">
        <v>45416</v>
      </c>
      <c r="H12" s="17">
        <v>297.27</v>
      </c>
      <c r="I12" s="17">
        <v>17143.289999999997</v>
      </c>
    </row>
    <row r="13" spans="1:9" x14ac:dyDescent="0.3">
      <c r="A13" s="17" t="str">
        <v>Mary Davis</v>
      </c>
      <c r="B13" s="17" t="str">
        <v>Central</v>
      </c>
      <c r="C13" s="17" t="str">
        <v>Electronics</v>
      </c>
      <c r="D13" s="17">
        <v>706.37</v>
      </c>
      <c r="E13" s="17">
        <v>6</v>
      </c>
      <c r="F13" s="17">
        <v>0</v>
      </c>
      <c r="G13" s="17">
        <v>45416</v>
      </c>
      <c r="H13" s="17">
        <v>176.59</v>
      </c>
      <c r="I13" s="17">
        <v>17143.289999999997</v>
      </c>
    </row>
    <row r="14" spans="1:9" x14ac:dyDescent="0.3">
      <c r="A14" s="17" t="str">
        <v>Mary Davis</v>
      </c>
      <c r="B14" s="17" t="str">
        <v>Central</v>
      </c>
      <c r="C14" s="17" t="str">
        <v>Office Supplies</v>
      </c>
      <c r="D14" s="17">
        <v>925.31</v>
      </c>
      <c r="E14" s="17">
        <v>8</v>
      </c>
      <c r="F14" s="17">
        <v>0.1</v>
      </c>
      <c r="G14" s="17">
        <v>45418</v>
      </c>
      <c r="H14" s="17">
        <v>374.75</v>
      </c>
      <c r="I14" s="17">
        <v>17143.289999999997</v>
      </c>
    </row>
    <row r="15" spans="1:9" x14ac:dyDescent="0.3">
      <c r="A15" s="17" t="str">
        <v>James Wilson</v>
      </c>
      <c r="B15" s="17" t="str">
        <v>South</v>
      </c>
      <c r="C15" s="17" t="str">
        <v>Electronics</v>
      </c>
      <c r="D15" s="17">
        <v>801.21</v>
      </c>
      <c r="E15" s="17">
        <v>3</v>
      </c>
      <c r="F15" s="17">
        <v>0.2</v>
      </c>
      <c r="G15" s="17">
        <v>45426</v>
      </c>
      <c r="H15" s="17">
        <v>160.24</v>
      </c>
      <c r="I15" s="17">
        <v>20774.739999999998</v>
      </c>
    </row>
    <row r="16" spans="1:9" x14ac:dyDescent="0.3">
      <c r="A16" s="17" t="str">
        <v>David Brown</v>
      </c>
      <c r="B16" s="17" t="str">
        <v>North</v>
      </c>
      <c r="C16" s="17" t="str">
        <v>Electronics</v>
      </c>
      <c r="D16" s="17">
        <v>1450.71</v>
      </c>
      <c r="E16" s="17">
        <v>5</v>
      </c>
      <c r="F16" s="17">
        <v>0.1</v>
      </c>
      <c r="G16" s="17">
        <v>45427</v>
      </c>
      <c r="H16" s="17">
        <v>326.41000000000003</v>
      </c>
      <c r="I16" s="17">
        <v>11915.829999999998</v>
      </c>
    </row>
    <row r="17" spans="1:9" x14ac:dyDescent="0.3">
      <c r="A17" s="17" t="str">
        <v>David Brown</v>
      </c>
      <c r="B17" s="17" t="str">
        <v>East</v>
      </c>
      <c r="C17" s="17" t="str">
        <v>Office Supplies</v>
      </c>
      <c r="D17" s="17">
        <v>840.92</v>
      </c>
      <c r="E17" s="17">
        <v>9</v>
      </c>
      <c r="F17" s="17">
        <v>0.05</v>
      </c>
      <c r="G17" s="17">
        <v>45429</v>
      </c>
      <c r="H17" s="17">
        <v>359.49</v>
      </c>
      <c r="I17" s="17">
        <v>11915.829999999998</v>
      </c>
    </row>
    <row r="18" spans="1:9" x14ac:dyDescent="0.3">
      <c r="A18" s="17" t="str">
        <v>James Wilson</v>
      </c>
      <c r="B18" s="17" t="str">
        <v>Central</v>
      </c>
      <c r="C18" s="17" t="str">
        <v>Office Supplies</v>
      </c>
      <c r="D18" s="17">
        <v>1025.98</v>
      </c>
      <c r="E18" s="17">
        <v>5</v>
      </c>
      <c r="F18" s="17">
        <v>0.2</v>
      </c>
      <c r="G18" s="17">
        <v>45447</v>
      </c>
      <c r="H18" s="17">
        <v>369.35</v>
      </c>
      <c r="I18" s="17">
        <v>20774.739999999998</v>
      </c>
    </row>
    <row r="19" spans="1:9" x14ac:dyDescent="0.3">
      <c r="A19" s="17" t="str">
        <v>James Wilson</v>
      </c>
      <c r="B19" s="17" t="str">
        <v>Central</v>
      </c>
      <c r="C19" s="17" t="str">
        <v>Books</v>
      </c>
      <c r="D19" s="17">
        <v>840.85</v>
      </c>
      <c r="E19" s="17">
        <v>19</v>
      </c>
      <c r="F19" s="17">
        <v>0.1</v>
      </c>
      <c r="G19" s="17">
        <v>45448</v>
      </c>
      <c r="H19" s="17">
        <v>302.70999999999998</v>
      </c>
      <c r="I19" s="17">
        <v>20774.739999999998</v>
      </c>
    </row>
    <row r="20" spans="1:9" x14ac:dyDescent="0.3">
      <c r="A20" s="17" t="str">
        <v>Mary Davis</v>
      </c>
      <c r="B20" s="17" t="str">
        <v>North</v>
      </c>
      <c r="C20" s="17" t="str">
        <v>Office Supplies</v>
      </c>
      <c r="D20" s="17">
        <v>1001.57</v>
      </c>
      <c r="E20" s="17">
        <v>12</v>
      </c>
      <c r="F20" s="17">
        <v>0</v>
      </c>
      <c r="G20" s="17">
        <v>45450</v>
      </c>
      <c r="H20" s="17">
        <v>450.71</v>
      </c>
      <c r="I20" s="17">
        <v>17143.289999999997</v>
      </c>
    </row>
    <row r="21" spans="1:9" x14ac:dyDescent="0.3">
      <c r="A21" s="17" t="str">
        <v>James Wilson</v>
      </c>
      <c r="B21" s="17" t="str">
        <v>South</v>
      </c>
      <c r="C21" s="17" t="str">
        <v>Clothing</v>
      </c>
      <c r="D21" s="17">
        <v>1226.6199999999999</v>
      </c>
      <c r="E21" s="17">
        <v>7</v>
      </c>
      <c r="F21" s="17">
        <v>0.1</v>
      </c>
      <c r="G21" s="17">
        <v>45463</v>
      </c>
      <c r="H21" s="17">
        <v>551.98</v>
      </c>
      <c r="I21" s="17">
        <v>20774.739999999998</v>
      </c>
    </row>
    <row r="22" spans="1:9" x14ac:dyDescent="0.3">
      <c r="A22" s="17" t="str">
        <v>Emma Davis</v>
      </c>
      <c r="B22" s="17" t="str">
        <v>North</v>
      </c>
      <c r="C22" s="17" t="str">
        <v>Electronics</v>
      </c>
      <c r="D22" s="17">
        <v>818.8</v>
      </c>
      <c r="E22" s="17">
        <v>15</v>
      </c>
      <c r="F22" s="17">
        <v>0.15</v>
      </c>
      <c r="G22" s="17">
        <v>45468</v>
      </c>
      <c r="H22" s="17">
        <v>173.99</v>
      </c>
      <c r="I22" s="17">
        <v>11398.32</v>
      </c>
    </row>
    <row r="23" spans="1:9" x14ac:dyDescent="0.3">
      <c r="A23" s="17" t="str">
        <v>Emma Davis</v>
      </c>
      <c r="B23" s="17" t="str">
        <v>North</v>
      </c>
      <c r="C23" s="17" t="str">
        <v>Books</v>
      </c>
      <c r="D23" s="17">
        <v>1248.82</v>
      </c>
      <c r="E23" s="17">
        <v>2</v>
      </c>
      <c r="F23" s="17">
        <v>0.1</v>
      </c>
      <c r="G23" s="17">
        <v>45473</v>
      </c>
      <c r="H23" s="17">
        <v>449.58</v>
      </c>
      <c r="I23" s="17">
        <v>11398.32</v>
      </c>
    </row>
    <row r="24" spans="1:9" x14ac:dyDescent="0.3">
      <c r="A24" s="17" t="str">
        <v>Mary Davis</v>
      </c>
      <c r="B24" s="17" t="str">
        <v>East</v>
      </c>
      <c r="C24" s="17" t="str">
        <v>Books</v>
      </c>
      <c r="D24" s="17">
        <v>1383.3</v>
      </c>
      <c r="E24" s="17">
        <v>8</v>
      </c>
      <c r="F24" s="17">
        <v>0.1</v>
      </c>
      <c r="G24" s="17">
        <v>45478</v>
      </c>
      <c r="H24" s="17">
        <v>497.99</v>
      </c>
      <c r="I24" s="17">
        <v>17143.289999999997</v>
      </c>
    </row>
    <row r="25" spans="1:9" x14ac:dyDescent="0.3">
      <c r="A25" s="17" t="str">
        <v>David Brown</v>
      </c>
      <c r="B25" s="17" t="str">
        <v>Central</v>
      </c>
      <c r="C25" s="17" t="str">
        <v>Office Supplies</v>
      </c>
      <c r="D25" s="17">
        <v>488.99</v>
      </c>
      <c r="E25" s="17">
        <v>9</v>
      </c>
      <c r="F25" s="17">
        <v>0</v>
      </c>
      <c r="G25" s="17">
        <v>45479</v>
      </c>
      <c r="H25" s="17">
        <v>220.05</v>
      </c>
      <c r="I25" s="17">
        <v>11915.829999999998</v>
      </c>
    </row>
    <row r="26" spans="1:9" x14ac:dyDescent="0.3">
      <c r="A26" s="17" t="str">
        <v>Mary Davis</v>
      </c>
      <c r="B26" s="17" t="str">
        <v>East</v>
      </c>
      <c r="C26" s="17" t="str">
        <v>Furniture</v>
      </c>
      <c r="D26" s="17">
        <v>933.71</v>
      </c>
      <c r="E26" s="17">
        <v>17</v>
      </c>
      <c r="F26" s="17">
        <v>0.1</v>
      </c>
      <c r="G26" s="17">
        <v>45481</v>
      </c>
      <c r="H26" s="17">
        <v>294.12</v>
      </c>
      <c r="I26" s="17">
        <v>17143.289999999997</v>
      </c>
    </row>
    <row r="27" spans="1:9" x14ac:dyDescent="0.3">
      <c r="A27" s="17" t="str">
        <v>James Wilson</v>
      </c>
      <c r="B27" s="17" t="str">
        <v>North</v>
      </c>
      <c r="C27" s="17" t="str">
        <v>Furniture</v>
      </c>
      <c r="D27" s="17">
        <v>1034.7</v>
      </c>
      <c r="E27" s="17">
        <v>15</v>
      </c>
      <c r="F27" s="17">
        <v>0.15</v>
      </c>
      <c r="G27" s="17">
        <v>45487</v>
      </c>
      <c r="H27" s="17">
        <v>307.82</v>
      </c>
      <c r="I27" s="17">
        <v>20774.739999999998</v>
      </c>
    </row>
    <row r="28" spans="1:9" x14ac:dyDescent="0.3">
      <c r="A28" s="17" t="str">
        <v>Mary Davis</v>
      </c>
      <c r="B28" s="17" t="str">
        <v>South</v>
      </c>
      <c r="C28" s="17" t="str">
        <v>Books</v>
      </c>
      <c r="D28" s="17">
        <v>876.44</v>
      </c>
      <c r="E28" s="17">
        <v>12</v>
      </c>
      <c r="F28" s="17">
        <v>0.05</v>
      </c>
      <c r="G28" s="17">
        <v>45488</v>
      </c>
      <c r="H28" s="17">
        <v>333.05</v>
      </c>
      <c r="I28" s="17">
        <v>17143.289999999997</v>
      </c>
    </row>
    <row r="29" spans="1:9" x14ac:dyDescent="0.3">
      <c r="A29" s="17" t="str">
        <v>David Brown</v>
      </c>
      <c r="B29" s="17" t="str">
        <v>West</v>
      </c>
      <c r="C29" s="17" t="str">
        <v>Furniture</v>
      </c>
      <c r="D29" s="17">
        <v>1371.34</v>
      </c>
      <c r="E29" s="17">
        <v>5</v>
      </c>
      <c r="F29" s="17">
        <v>0.05</v>
      </c>
      <c r="G29" s="17">
        <v>45488</v>
      </c>
      <c r="H29" s="17">
        <v>455.97</v>
      </c>
      <c r="I29" s="17">
        <v>11915.829999999998</v>
      </c>
    </row>
    <row r="30" spans="1:9" x14ac:dyDescent="0.3">
      <c r="A30" s="17" t="str">
        <v>David Brown</v>
      </c>
      <c r="B30" s="17" t="str">
        <v>Central</v>
      </c>
      <c r="C30" s="17" t="str">
        <v>Electronics</v>
      </c>
      <c r="D30" s="17">
        <v>608.66</v>
      </c>
      <c r="E30" s="17">
        <v>1</v>
      </c>
      <c r="F30" s="17">
        <v>0.05</v>
      </c>
      <c r="G30" s="17">
        <v>45503</v>
      </c>
      <c r="H30" s="17">
        <v>144.56</v>
      </c>
      <c r="I30" s="17">
        <v>11915.829999999998</v>
      </c>
    </row>
    <row r="31" spans="1:9" x14ac:dyDescent="0.3">
      <c r="A31" s="17" t="str">
        <v>David Brown</v>
      </c>
      <c r="B31" s="17" t="str">
        <v>East</v>
      </c>
      <c r="C31" s="17" t="str">
        <v>Electronics</v>
      </c>
      <c r="D31" s="17">
        <v>539.77</v>
      </c>
      <c r="E31" s="17">
        <v>10</v>
      </c>
      <c r="F31" s="17">
        <v>0.15</v>
      </c>
      <c r="G31" s="17">
        <v>45509</v>
      </c>
      <c r="H31" s="17">
        <v>114.7</v>
      </c>
      <c r="I31" s="17">
        <v>11915.829999999998</v>
      </c>
    </row>
    <row r="32" spans="1:9" x14ac:dyDescent="0.3">
      <c r="A32" s="17" t="str">
        <v>Emma Davis</v>
      </c>
      <c r="B32" s="17" t="str">
        <v>West</v>
      </c>
      <c r="C32" s="17" t="str">
        <v>Electronics</v>
      </c>
      <c r="D32" s="17">
        <v>1526.6</v>
      </c>
      <c r="E32" s="17">
        <v>13</v>
      </c>
      <c r="F32" s="17">
        <v>0.2</v>
      </c>
      <c r="G32" s="17">
        <v>45512</v>
      </c>
      <c r="H32" s="17">
        <v>305.32</v>
      </c>
      <c r="I32" s="17">
        <v>11398.32</v>
      </c>
    </row>
    <row r="33" spans="1:9" x14ac:dyDescent="0.3">
      <c r="A33" s="17" t="str">
        <v>Mary Davis</v>
      </c>
      <c r="B33" s="17" t="str">
        <v>East</v>
      </c>
      <c r="C33" s="17" t="str">
        <v>Clothing</v>
      </c>
      <c r="D33" s="17">
        <v>1291.47</v>
      </c>
      <c r="E33" s="17">
        <v>18</v>
      </c>
      <c r="F33" s="17">
        <v>0.1</v>
      </c>
      <c r="G33" s="17">
        <v>45526</v>
      </c>
      <c r="H33" s="17">
        <v>581.16</v>
      </c>
      <c r="I33" s="17">
        <v>17143.289999999997</v>
      </c>
    </row>
    <row r="34" spans="1:9" x14ac:dyDescent="0.3">
      <c r="A34" s="17" t="str">
        <v>David Brown</v>
      </c>
      <c r="B34" s="17" t="str">
        <v>North</v>
      </c>
      <c r="C34" s="17" t="str">
        <v>Books</v>
      </c>
      <c r="D34" s="17">
        <v>679.71</v>
      </c>
      <c r="E34" s="17">
        <v>19</v>
      </c>
      <c r="F34" s="17">
        <v>0</v>
      </c>
      <c r="G34" s="17">
        <v>45534</v>
      </c>
      <c r="H34" s="17">
        <v>271.88</v>
      </c>
      <c r="I34" s="17">
        <v>11915.829999999998</v>
      </c>
    </row>
    <row r="35" spans="1:9" x14ac:dyDescent="0.3">
      <c r="A35" s="17" t="str">
        <v>David Brown</v>
      </c>
      <c r="B35" s="17" t="str">
        <v>East</v>
      </c>
      <c r="C35" s="17" t="str">
        <v>Furniture</v>
      </c>
      <c r="D35" s="17">
        <v>873.7</v>
      </c>
      <c r="E35" s="17">
        <v>9</v>
      </c>
      <c r="F35" s="17">
        <v>0</v>
      </c>
      <c r="G35" s="17">
        <v>45546</v>
      </c>
      <c r="H35" s="17">
        <v>305.8</v>
      </c>
      <c r="I35" s="17">
        <v>11915.829999999998</v>
      </c>
    </row>
    <row r="36" spans="1:9" x14ac:dyDescent="0.3">
      <c r="A36" s="17" t="str">
        <v>James Wilson</v>
      </c>
      <c r="B36" s="17" t="str">
        <v>East</v>
      </c>
      <c r="C36" s="17" t="str">
        <v>Office Supplies</v>
      </c>
      <c r="D36" s="17">
        <v>1154.33</v>
      </c>
      <c r="E36" s="17">
        <v>11</v>
      </c>
      <c r="F36" s="17">
        <v>0.15</v>
      </c>
      <c r="G36" s="17">
        <v>45549</v>
      </c>
      <c r="H36" s="17">
        <v>441.53</v>
      </c>
      <c r="I36" s="17">
        <v>20774.739999999998</v>
      </c>
    </row>
    <row r="37" spans="1:9" x14ac:dyDescent="0.3">
      <c r="A37" s="17" t="str">
        <v>Emma Davis</v>
      </c>
      <c r="B37" s="17" t="str">
        <v>East</v>
      </c>
      <c r="C37" s="17" t="str">
        <v>Office Supplies</v>
      </c>
      <c r="D37" s="17">
        <v>875.41</v>
      </c>
      <c r="E37" s="17">
        <v>13</v>
      </c>
      <c r="F37" s="17">
        <v>0.15</v>
      </c>
      <c r="G37" s="17">
        <v>45552</v>
      </c>
      <c r="H37" s="17">
        <v>334.84</v>
      </c>
      <c r="I37" s="17">
        <v>11398.32</v>
      </c>
    </row>
    <row r="38" spans="1:9" x14ac:dyDescent="0.3">
      <c r="A38" s="17" t="str">
        <v>James Wilson</v>
      </c>
      <c r="B38" s="17" t="str">
        <v>West</v>
      </c>
      <c r="C38" s="17" t="str">
        <v>Electronics</v>
      </c>
      <c r="D38" s="17">
        <v>1158.94</v>
      </c>
      <c r="E38" s="17">
        <v>19</v>
      </c>
      <c r="F38" s="17">
        <v>0.2</v>
      </c>
      <c r="G38" s="17">
        <v>45553</v>
      </c>
      <c r="H38" s="17">
        <v>231.79</v>
      </c>
      <c r="I38" s="17">
        <v>20774.739999999998</v>
      </c>
    </row>
    <row r="39" spans="1:9" x14ac:dyDescent="0.3">
      <c r="A39" s="17" t="str">
        <v>James Wilson</v>
      </c>
      <c r="B39" s="17" t="str">
        <v>North</v>
      </c>
      <c r="C39" s="17" t="str">
        <v>Clothing</v>
      </c>
      <c r="D39" s="17">
        <v>1205.82</v>
      </c>
      <c r="E39" s="17">
        <v>11</v>
      </c>
      <c r="F39" s="17">
        <v>0.1</v>
      </c>
      <c r="G39" s="17">
        <v>45559</v>
      </c>
      <c r="H39" s="17">
        <v>542.62</v>
      </c>
      <c r="I39" s="17">
        <v>20774.739999999998</v>
      </c>
    </row>
    <row r="40" spans="1:9" x14ac:dyDescent="0.3">
      <c r="A40" s="17" t="str">
        <v>James Wilson</v>
      </c>
      <c r="B40" s="17" t="str">
        <v>Central</v>
      </c>
      <c r="C40" s="17" t="str">
        <v>Clothing</v>
      </c>
      <c r="D40" s="17">
        <v>902.19</v>
      </c>
      <c r="E40" s="17">
        <v>12</v>
      </c>
      <c r="F40" s="17">
        <v>0</v>
      </c>
      <c r="G40" s="17">
        <v>45564</v>
      </c>
      <c r="H40" s="17">
        <v>451.1</v>
      </c>
      <c r="I40" s="17">
        <v>20774.739999999998</v>
      </c>
    </row>
    <row r="41" spans="1:9" x14ac:dyDescent="0.3">
      <c r="A41" s="17" t="str">
        <v>Emma Davis</v>
      </c>
      <c r="B41" s="17" t="str">
        <v>North</v>
      </c>
      <c r="C41" s="17" t="str">
        <v>Books</v>
      </c>
      <c r="D41" s="17">
        <v>585.97</v>
      </c>
      <c r="E41" s="17">
        <v>17</v>
      </c>
      <c r="F41" s="17">
        <v>0.1</v>
      </c>
      <c r="G41" s="17">
        <v>45565</v>
      </c>
      <c r="H41" s="17">
        <v>210.95</v>
      </c>
      <c r="I41" s="17">
        <v>11398.32</v>
      </c>
    </row>
    <row r="42" spans="1:9" x14ac:dyDescent="0.3">
      <c r="A42" s="17" t="str">
        <v>James Wilson</v>
      </c>
      <c r="B42" s="17" t="str">
        <v>East</v>
      </c>
      <c r="C42" s="17" t="str">
        <v>Books</v>
      </c>
      <c r="D42" s="17">
        <v>1081.1400000000001</v>
      </c>
      <c r="E42" s="17">
        <v>19</v>
      </c>
      <c r="F42" s="17">
        <v>0.15</v>
      </c>
      <c r="G42" s="17">
        <v>45577</v>
      </c>
      <c r="H42" s="17">
        <v>367.59</v>
      </c>
      <c r="I42" s="17">
        <v>20774.739999999998</v>
      </c>
    </row>
    <row r="43" spans="1:9" x14ac:dyDescent="0.3">
      <c r="A43" s="17" t="str">
        <v>James Wilson</v>
      </c>
      <c r="B43" s="17" t="str">
        <v>West</v>
      </c>
      <c r="C43" s="17" t="str">
        <v>Clothing</v>
      </c>
      <c r="D43" s="17">
        <v>1923.66</v>
      </c>
      <c r="E43" s="17">
        <v>9</v>
      </c>
      <c r="F43" s="17">
        <v>0.2</v>
      </c>
      <c r="G43" s="17">
        <v>45580</v>
      </c>
      <c r="H43" s="17">
        <v>769.46</v>
      </c>
      <c r="I43" s="17">
        <v>20774.739999999998</v>
      </c>
    </row>
    <row r="44" spans="1:9" x14ac:dyDescent="0.3">
      <c r="A44" s="17" t="str">
        <v>James Wilson</v>
      </c>
      <c r="B44" s="17" t="str">
        <v>West</v>
      </c>
      <c r="C44" s="17" t="str">
        <v>Clothing</v>
      </c>
      <c r="D44" s="17">
        <v>697.57</v>
      </c>
      <c r="E44" s="17">
        <v>17</v>
      </c>
      <c r="F44" s="17">
        <v>0.1</v>
      </c>
      <c r="G44" s="17">
        <v>45584</v>
      </c>
      <c r="H44" s="17">
        <v>313.91000000000003</v>
      </c>
      <c r="I44" s="17">
        <v>20774.739999999998</v>
      </c>
    </row>
    <row r="45" spans="1:9" x14ac:dyDescent="0.3">
      <c r="A45" s="17" t="str">
        <v>Emma Davis</v>
      </c>
      <c r="B45" s="17" t="str">
        <v>South</v>
      </c>
      <c r="C45" s="17" t="str">
        <v>Electronics</v>
      </c>
      <c r="D45" s="17">
        <v>771.02</v>
      </c>
      <c r="E45" s="17">
        <v>1</v>
      </c>
      <c r="F45" s="17">
        <v>0</v>
      </c>
      <c r="G45" s="17">
        <v>45585</v>
      </c>
      <c r="H45" s="17">
        <v>192.76</v>
      </c>
      <c r="I45" s="17">
        <v>11398.32</v>
      </c>
    </row>
    <row r="46" spans="1:9" x14ac:dyDescent="0.3">
      <c r="A46" s="17" t="str">
        <v>David Brown</v>
      </c>
      <c r="B46" s="17" t="str">
        <v>West</v>
      </c>
      <c r="C46" s="17" t="str">
        <v>Electronics</v>
      </c>
      <c r="D46" s="17">
        <v>688.83</v>
      </c>
      <c r="E46" s="17">
        <v>15</v>
      </c>
      <c r="F46" s="17">
        <v>0</v>
      </c>
      <c r="G46" s="17">
        <v>45595</v>
      </c>
      <c r="H46" s="17">
        <v>172.21</v>
      </c>
      <c r="I46" s="17">
        <v>11915.829999999998</v>
      </c>
    </row>
    <row r="47" spans="1:9" x14ac:dyDescent="0.3">
      <c r="A47" s="17" t="str">
        <v>James Wilson</v>
      </c>
      <c r="B47" s="17" t="str">
        <v>East</v>
      </c>
      <c r="C47" s="17" t="str">
        <v>Office Supplies</v>
      </c>
      <c r="D47" s="17">
        <v>1014.22</v>
      </c>
      <c r="E47" s="17">
        <v>14</v>
      </c>
      <c r="F47" s="17">
        <v>0.05</v>
      </c>
      <c r="G47" s="17">
        <v>45599</v>
      </c>
      <c r="H47" s="17">
        <v>433.58</v>
      </c>
      <c r="I47" s="17">
        <v>20774.739999999998</v>
      </c>
    </row>
    <row r="48" spans="1:9" x14ac:dyDescent="0.3">
      <c r="A48" s="17" t="str">
        <v>James Wilson</v>
      </c>
      <c r="B48" s="17" t="str">
        <v>North</v>
      </c>
      <c r="C48" s="17" t="str">
        <v>Electronics</v>
      </c>
      <c r="D48" s="17">
        <v>706.73</v>
      </c>
      <c r="E48" s="17">
        <v>1</v>
      </c>
      <c r="F48" s="17">
        <v>0.15</v>
      </c>
      <c r="G48" s="17">
        <v>45613</v>
      </c>
      <c r="H48" s="17">
        <v>150.18</v>
      </c>
      <c r="I48" s="17">
        <v>20774.739999999998</v>
      </c>
    </row>
    <row r="49" spans="1:9" x14ac:dyDescent="0.3">
      <c r="A49" s="17" t="str">
        <v>James Wilson</v>
      </c>
      <c r="B49" s="17" t="str">
        <v>West</v>
      </c>
      <c r="C49" s="17" t="str">
        <v>Electronics</v>
      </c>
      <c r="D49" s="17">
        <v>258.51</v>
      </c>
      <c r="E49" s="17">
        <v>19</v>
      </c>
      <c r="F49" s="17">
        <v>0</v>
      </c>
      <c r="G49" s="17">
        <v>45616</v>
      </c>
      <c r="H49" s="17">
        <v>64.63</v>
      </c>
      <c r="I49" s="17">
        <v>20774.739999999998</v>
      </c>
    </row>
    <row r="50" spans="1:9" x14ac:dyDescent="0.3">
      <c r="A50" s="17" t="str">
        <v>Emma Davis</v>
      </c>
      <c r="B50" s="17" t="str">
        <v>Central</v>
      </c>
      <c r="C50" s="17" t="str">
        <v>Books</v>
      </c>
      <c r="D50" s="17">
        <v>1150.28</v>
      </c>
      <c r="E50" s="17">
        <v>8</v>
      </c>
      <c r="F50" s="17">
        <v>0.05</v>
      </c>
      <c r="G50" s="17">
        <v>45622</v>
      </c>
      <c r="H50" s="17">
        <v>437.11</v>
      </c>
      <c r="I50" s="17">
        <v>11398.32</v>
      </c>
    </row>
    <row r="51" spans="1:9" x14ac:dyDescent="0.3">
      <c r="A51" s="17" t="str">
        <v>Emma Davis</v>
      </c>
      <c r="B51" s="17" t="str">
        <v>North</v>
      </c>
      <c r="C51" s="17" t="str">
        <v>Office Supplies</v>
      </c>
      <c r="D51" s="17">
        <v>833.91</v>
      </c>
      <c r="E51" s="17">
        <v>3</v>
      </c>
      <c r="F51" s="17">
        <v>0.05</v>
      </c>
      <c r="G51" s="17">
        <v>45626</v>
      </c>
      <c r="H51" s="17">
        <v>356.5</v>
      </c>
      <c r="I51" s="17">
        <v>11398.32</v>
      </c>
    </row>
    <row r="52" spans="1:9" x14ac:dyDescent="0.3">
      <c r="A52" s="17" t="str">
        <v>Emma Davis</v>
      </c>
      <c r="B52" s="17" t="str">
        <v>Central</v>
      </c>
      <c r="C52" s="17" t="str">
        <v>Electronics</v>
      </c>
      <c r="D52" s="17">
        <v>511.74</v>
      </c>
      <c r="E52" s="17">
        <v>8</v>
      </c>
      <c r="F52" s="17">
        <v>0.05</v>
      </c>
      <c r="G52" s="17">
        <v>45631</v>
      </c>
      <c r="H52" s="17">
        <v>121.54</v>
      </c>
      <c r="I52" s="17">
        <v>11398.32</v>
      </c>
    </row>
    <row r="53" spans="1:9" x14ac:dyDescent="0.3">
      <c r="A53" s="17" t="str">
        <v>Mary Davis</v>
      </c>
      <c r="B53" s="17" t="str">
        <v>North</v>
      </c>
      <c r="C53" s="17" t="str">
        <v>Clothing</v>
      </c>
      <c r="D53" s="17">
        <v>1589.42</v>
      </c>
      <c r="E53" s="17">
        <v>6</v>
      </c>
      <c r="F53" s="17">
        <v>0.15</v>
      </c>
      <c r="G53" s="17">
        <v>45651</v>
      </c>
      <c r="H53" s="17">
        <v>675.5</v>
      </c>
      <c r="I53" s="17">
        <v>17143.289999999997</v>
      </c>
    </row>
    <row r="54" spans="1:9" x14ac:dyDescent="0.3">
      <c r="A54" s="17" t="str">
        <v>James Wilson</v>
      </c>
      <c r="B54" s="17" t="str">
        <v>West</v>
      </c>
      <c r="C54" s="17" t="str">
        <v>Books</v>
      </c>
      <c r="D54" s="17">
        <v>1353.79</v>
      </c>
      <c r="E54" s="17">
        <v>14</v>
      </c>
      <c r="F54" s="17">
        <v>0.1</v>
      </c>
      <c r="G54" s="17">
        <v>45656</v>
      </c>
      <c r="H54" s="17">
        <v>487.36</v>
      </c>
      <c r="I54" s="17">
        <v>20774.739999999998</v>
      </c>
    </row>
    <row r="55" spans="1:9" x14ac:dyDescent="0.3">
      <c r="A55" s="17" t="str">
        <v>James Wilson</v>
      </c>
      <c r="B55" s="17" t="str">
        <v>Central</v>
      </c>
      <c r="C55" s="17" t="str">
        <v>Office Supplies</v>
      </c>
      <c r="D55" s="17">
        <v>745.05</v>
      </c>
      <c r="E55" s="17">
        <v>10</v>
      </c>
      <c r="F55" s="17">
        <v>0.1</v>
      </c>
      <c r="G55" s="17">
        <v>45660</v>
      </c>
      <c r="H55" s="17">
        <v>301.75</v>
      </c>
      <c r="I55" s="17">
        <v>20774.739999999998</v>
      </c>
    </row>
    <row r="56" spans="1:9" x14ac:dyDescent="0.3">
      <c r="A56" s="17" t="str">
        <v>James Wilson</v>
      </c>
      <c r="B56" s="17" t="str">
        <v>North</v>
      </c>
      <c r="C56" s="17" t="str">
        <v>Electronics</v>
      </c>
      <c r="D56" s="17">
        <v>1681.21</v>
      </c>
      <c r="E56" s="17">
        <v>5</v>
      </c>
      <c r="F56" s="17">
        <v>0.2</v>
      </c>
      <c r="G56" s="17">
        <v>45670</v>
      </c>
      <c r="H56" s="17">
        <v>336.24</v>
      </c>
      <c r="I56" s="17">
        <v>20774.739999999998</v>
      </c>
    </row>
    <row r="57" spans="1:9" x14ac:dyDescent="0.3">
      <c r="A57" s="17" t="str">
        <v>Mary Davis</v>
      </c>
      <c r="B57" s="17" t="str">
        <v>Central</v>
      </c>
      <c r="C57" s="17" t="str">
        <v>Office Supplies</v>
      </c>
      <c r="D57" s="17">
        <v>1250.71</v>
      </c>
      <c r="E57" s="17">
        <v>7</v>
      </c>
      <c r="F57" s="17">
        <v>0</v>
      </c>
      <c r="G57" s="17">
        <v>45674</v>
      </c>
      <c r="H57" s="17">
        <v>562.82000000000005</v>
      </c>
      <c r="I57" s="17">
        <v>17143.289999999997</v>
      </c>
    </row>
    <row r="58" spans="1:9" x14ac:dyDescent="0.3">
      <c r="A58" s="17" t="str">
        <v>Mary Davis</v>
      </c>
      <c r="B58" s="17" t="str">
        <v>East</v>
      </c>
      <c r="C58" s="17" t="str">
        <v>Clothing</v>
      </c>
      <c r="D58" s="17">
        <v>1109.98</v>
      </c>
      <c r="E58" s="17">
        <v>5</v>
      </c>
      <c r="F58" s="17">
        <v>0.2</v>
      </c>
      <c r="G58" s="17">
        <v>45690</v>
      </c>
      <c r="H58" s="17">
        <v>443.99</v>
      </c>
      <c r="I58" s="17">
        <v>17143.289999999997</v>
      </c>
    </row>
    <row r="59" spans="1:9" x14ac:dyDescent="0.3">
      <c r="A59" s="17" t="str">
        <v>Mary Davis</v>
      </c>
      <c r="B59" s="17" t="str">
        <v>South</v>
      </c>
      <c r="C59" s="17" t="str">
        <v>Office Supplies</v>
      </c>
      <c r="D59" s="17">
        <v>573.32000000000005</v>
      </c>
      <c r="E59" s="17">
        <v>19</v>
      </c>
      <c r="F59" s="17">
        <v>0.1</v>
      </c>
      <c r="G59" s="17">
        <v>45703</v>
      </c>
      <c r="H59" s="17">
        <v>232.19</v>
      </c>
      <c r="I59" s="17">
        <v>17143.289999999997</v>
      </c>
    </row>
    <row r="60" spans="1:9" x14ac:dyDescent="0.3">
      <c r="A60" s="17" t="str">
        <v>James Wilson</v>
      </c>
      <c r="B60" s="17" t="str">
        <v>West</v>
      </c>
      <c r="C60" s="17" t="str">
        <v>Electronics</v>
      </c>
      <c r="D60" s="17">
        <v>1115.22</v>
      </c>
      <c r="E60" s="17">
        <v>14</v>
      </c>
      <c r="F60" s="17">
        <v>0.2</v>
      </c>
      <c r="G60" s="17">
        <v>45705</v>
      </c>
      <c r="H60" s="17">
        <v>223.04</v>
      </c>
      <c r="I60" s="17">
        <v>20774.739999999998</v>
      </c>
    </row>
    <row r="61" spans="1:9" x14ac:dyDescent="0.3">
      <c r="A61" s="17" t="str">
        <v>David Brown</v>
      </c>
      <c r="B61" s="17" t="str">
        <v>West</v>
      </c>
      <c r="C61" s="17" t="str">
        <v>Electronics</v>
      </c>
      <c r="D61" s="17">
        <v>1029.8</v>
      </c>
      <c r="E61" s="17">
        <v>3</v>
      </c>
      <c r="F61" s="17">
        <v>0</v>
      </c>
      <c r="G61" s="17">
        <v>45708</v>
      </c>
      <c r="H61" s="17">
        <v>257.45</v>
      </c>
      <c r="I61" s="17">
        <v>11915.829999999998</v>
      </c>
    </row>
    <row r="62" spans="1:9" x14ac:dyDescent="0.3">
      <c r="A62" s="17" t="str">
        <v>Mary Davis</v>
      </c>
      <c r="B62" s="17" t="str">
        <v>North</v>
      </c>
      <c r="C62" s="17" t="str">
        <v>Books</v>
      </c>
      <c r="D62" s="17">
        <v>1189.83</v>
      </c>
      <c r="E62" s="17">
        <v>2</v>
      </c>
      <c r="F62" s="17">
        <v>0.2</v>
      </c>
      <c r="G62" s="17">
        <v>45709</v>
      </c>
      <c r="H62" s="17">
        <v>380.75</v>
      </c>
      <c r="I62" s="17">
        <v>17143.289999999997</v>
      </c>
    </row>
    <row r="63" spans="1:9" x14ac:dyDescent="0.3">
      <c r="A63" s="17" t="str">
        <v>Mary Davis</v>
      </c>
      <c r="B63" s="17" t="str">
        <v>Central</v>
      </c>
      <c r="C63" s="17" t="str">
        <v>Clothing</v>
      </c>
      <c r="D63" s="17">
        <v>826.97</v>
      </c>
      <c r="E63" s="17">
        <v>18</v>
      </c>
      <c r="F63" s="17">
        <v>0.2</v>
      </c>
      <c r="G63" s="17">
        <v>45715</v>
      </c>
      <c r="H63" s="17">
        <v>330.79</v>
      </c>
      <c r="I63" s="17">
        <v>17143.289999999997</v>
      </c>
    </row>
    <row r="64" spans="1:9" x14ac:dyDescent="0.3">
      <c r="A64" s="17" t="str">
        <v>Mary Davis</v>
      </c>
      <c r="B64" s="17" t="str">
        <v>Central</v>
      </c>
      <c r="C64" s="17" t="str">
        <v>Clothing</v>
      </c>
      <c r="D64" s="17">
        <v>1022.23</v>
      </c>
      <c r="E64" s="17">
        <v>8</v>
      </c>
      <c r="F64" s="17">
        <v>0.1</v>
      </c>
      <c r="G64" s="17">
        <v>45717</v>
      </c>
      <c r="H64" s="17">
        <v>460</v>
      </c>
      <c r="I64" s="17">
        <v>17143.289999999997</v>
      </c>
    </row>
    <row r="65" spans="1:9" x14ac:dyDescent="0.3">
      <c r="A65" s="17" t="str">
        <v>Emma Davis</v>
      </c>
      <c r="B65" s="17" t="str">
        <v>South</v>
      </c>
      <c r="C65" s="17" t="str">
        <v>Books</v>
      </c>
      <c r="D65" s="17">
        <v>1064.19</v>
      </c>
      <c r="E65" s="17">
        <v>18</v>
      </c>
      <c r="F65" s="17">
        <v>0.05</v>
      </c>
      <c r="G65" s="17">
        <v>45725</v>
      </c>
      <c r="H65" s="17">
        <v>404.39</v>
      </c>
      <c r="I65" s="17">
        <v>11398.32</v>
      </c>
    </row>
    <row r="66" spans="1:9" x14ac:dyDescent="0.3">
      <c r="A66" s="17" t="str">
        <v>Emma Davis</v>
      </c>
      <c r="B66" s="17" t="str">
        <v>East</v>
      </c>
      <c r="C66" s="17" t="str">
        <v>Office Supplies</v>
      </c>
      <c r="D66" s="17">
        <v>438.76</v>
      </c>
      <c r="E66" s="17">
        <v>18</v>
      </c>
      <c r="F66" s="17">
        <v>0.05</v>
      </c>
      <c r="G66" s="17">
        <v>45726</v>
      </c>
      <c r="H66" s="17">
        <v>187.57</v>
      </c>
      <c r="I66" s="17">
        <v>11398.32</v>
      </c>
    </row>
    <row r="67" spans="1:9" x14ac:dyDescent="0.3">
      <c r="A67" s="17" t="str">
        <v>David Brown</v>
      </c>
      <c r="B67" s="17" t="str">
        <v>West</v>
      </c>
      <c r="C67" s="17" t="str">
        <v>Clothing</v>
      </c>
      <c r="D67" s="17">
        <v>864.98</v>
      </c>
      <c r="E67" s="17">
        <v>2</v>
      </c>
      <c r="F67" s="17">
        <v>0.05</v>
      </c>
      <c r="G67" s="17">
        <v>45727</v>
      </c>
      <c r="H67" s="17">
        <v>410.87</v>
      </c>
      <c r="I67" s="17">
        <v>11915.829999999998</v>
      </c>
    </row>
    <row r="68" spans="1:9" x14ac:dyDescent="0.3">
      <c r="A68" s="17" t="str">
        <v>David Brown</v>
      </c>
      <c r="B68" s="17" t="str">
        <v>West</v>
      </c>
      <c r="C68" s="17" t="str">
        <v>Furniture</v>
      </c>
      <c r="D68" s="17">
        <v>984.93</v>
      </c>
      <c r="E68" s="17">
        <v>14</v>
      </c>
      <c r="F68" s="17">
        <v>0.2</v>
      </c>
      <c r="G68" s="17">
        <v>45733</v>
      </c>
      <c r="H68" s="17">
        <v>275.77999999999997</v>
      </c>
      <c r="I68" s="17">
        <v>11915.829999999998</v>
      </c>
    </row>
    <row r="69" spans="1:9" x14ac:dyDescent="0.3">
      <c r="A69" s="17" t="str">
        <v>David Brown</v>
      </c>
      <c r="B69" s="17" t="str">
        <v>West</v>
      </c>
      <c r="C69" s="17" t="str">
        <v>Clothing</v>
      </c>
      <c r="D69" s="17">
        <v>1493.49</v>
      </c>
      <c r="E69" s="17">
        <v>18</v>
      </c>
      <c r="F69" s="17">
        <v>0</v>
      </c>
      <c r="G69" s="17">
        <v>45734</v>
      </c>
      <c r="H69" s="17">
        <v>746.74</v>
      </c>
      <c r="I69" s="17">
        <v>11915.829999999998</v>
      </c>
    </row>
  </sheetData>
  <mergeCells count="1">
    <mergeCell ref="A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6B4A-3906-4ADC-9F89-D304BA633A5F}">
  <dimension ref="A1:G9"/>
  <sheetViews>
    <sheetView workbookViewId="0">
      <selection activeCell="C14" sqref="C14"/>
    </sheetView>
  </sheetViews>
  <sheetFormatPr defaultRowHeight="14.4" x14ac:dyDescent="0.3"/>
  <cols>
    <col min="1" max="1" width="12.5546875" bestFit="1" customWidth="1"/>
    <col min="2" max="2" width="20.21875" bestFit="1" customWidth="1"/>
    <col min="3" max="3" width="9" bestFit="1" customWidth="1"/>
    <col min="4" max="4" width="10" bestFit="1" customWidth="1"/>
    <col min="5" max="5" width="9" bestFit="1" customWidth="1"/>
    <col min="6" max="6" width="13.5546875" bestFit="1" customWidth="1"/>
    <col min="7" max="7" width="10.77734375" bestFit="1" customWidth="1"/>
  </cols>
  <sheetData>
    <row r="1" spans="1:7" x14ac:dyDescent="0.3">
      <c r="A1" s="41" t="s">
        <v>141</v>
      </c>
      <c r="B1" s="42"/>
      <c r="C1" s="42"/>
      <c r="D1" s="42"/>
      <c r="E1" s="42"/>
      <c r="F1" s="42"/>
      <c r="G1" s="42"/>
    </row>
    <row r="2" spans="1:7" x14ac:dyDescent="0.3">
      <c r="A2" s="30" t="s">
        <v>142</v>
      </c>
      <c r="B2" s="30" t="s">
        <v>140</v>
      </c>
      <c r="C2" s="14"/>
      <c r="D2" s="14"/>
      <c r="E2" s="14"/>
      <c r="F2" s="14"/>
      <c r="G2" s="14"/>
    </row>
    <row r="3" spans="1:7" x14ac:dyDescent="0.3">
      <c r="A3" s="30" t="s">
        <v>3</v>
      </c>
      <c r="B3" s="14" t="s">
        <v>13</v>
      </c>
      <c r="C3" s="14" t="s">
        <v>16</v>
      </c>
      <c r="D3" s="14" t="s">
        <v>22</v>
      </c>
      <c r="E3" s="14" t="s">
        <v>28</v>
      </c>
      <c r="F3" s="14" t="s">
        <v>40</v>
      </c>
      <c r="G3" s="14" t="s">
        <v>119</v>
      </c>
    </row>
    <row r="4" spans="1:7" x14ac:dyDescent="0.3">
      <c r="A4" s="14" t="s">
        <v>35</v>
      </c>
      <c r="B4" s="14">
        <v>11297.150000000001</v>
      </c>
      <c r="C4" s="14">
        <v>12200.26</v>
      </c>
      <c r="D4" s="14">
        <v>6621.24</v>
      </c>
      <c r="E4" s="14">
        <v>4876.96</v>
      </c>
      <c r="F4" s="14">
        <v>8472.7199999999993</v>
      </c>
      <c r="G4" s="14">
        <v>43468.33</v>
      </c>
    </row>
    <row r="5" spans="1:7" x14ac:dyDescent="0.3">
      <c r="A5" s="14" t="s">
        <v>19</v>
      </c>
      <c r="B5" s="14">
        <v>11389.090000000002</v>
      </c>
      <c r="C5" s="14">
        <v>2401.4499999999998</v>
      </c>
      <c r="D5" s="14">
        <v>2869.54</v>
      </c>
      <c r="E5" s="14">
        <v>7592.3399999999992</v>
      </c>
      <c r="F5" s="14">
        <v>8189.2200000000012</v>
      </c>
      <c r="G5" s="14">
        <v>32441.640000000003</v>
      </c>
    </row>
    <row r="6" spans="1:7" x14ac:dyDescent="0.3">
      <c r="A6" s="14" t="s">
        <v>25</v>
      </c>
      <c r="B6" s="14">
        <v>8037.0100000000011</v>
      </c>
      <c r="C6" s="14">
        <v>8422.82</v>
      </c>
      <c r="D6" s="14">
        <v>8191.7099999999991</v>
      </c>
      <c r="E6" s="14">
        <v>6978.08</v>
      </c>
      <c r="F6" s="14">
        <v>3345.8</v>
      </c>
      <c r="G6" s="14">
        <v>34975.420000000006</v>
      </c>
    </row>
    <row r="7" spans="1:7" x14ac:dyDescent="0.3">
      <c r="A7" s="14" t="s">
        <v>21</v>
      </c>
      <c r="B7" s="14">
        <v>9588.0400000000009</v>
      </c>
      <c r="C7" s="14">
        <v>8393.630000000001</v>
      </c>
      <c r="D7" s="14">
        <v>11989.070000000003</v>
      </c>
      <c r="E7" s="14">
        <v>7982.73</v>
      </c>
      <c r="F7" s="14">
        <v>2295.3199999999997</v>
      </c>
      <c r="G7" s="14">
        <v>40248.79</v>
      </c>
    </row>
    <row r="8" spans="1:7" x14ac:dyDescent="0.3">
      <c r="A8" s="14" t="s">
        <v>12</v>
      </c>
      <c r="B8" s="14">
        <v>6691.17</v>
      </c>
      <c r="C8" s="14">
        <v>10509.429999999998</v>
      </c>
      <c r="D8" s="14">
        <v>11372.44</v>
      </c>
      <c r="E8" s="14">
        <v>9182.7800000000007</v>
      </c>
      <c r="F8" s="14">
        <v>6327.76</v>
      </c>
      <c r="G8" s="14">
        <v>44083.58</v>
      </c>
    </row>
    <row r="9" spans="1:7" x14ac:dyDescent="0.3">
      <c r="A9" s="14" t="s">
        <v>119</v>
      </c>
      <c r="B9" s="14">
        <v>47002.460000000006</v>
      </c>
      <c r="C9" s="14">
        <v>41927.589999999997</v>
      </c>
      <c r="D9" s="14">
        <v>41044</v>
      </c>
      <c r="E9" s="14">
        <v>36612.89</v>
      </c>
      <c r="F9" s="14">
        <v>28630.82</v>
      </c>
      <c r="G9" s="14">
        <v>195217.76</v>
      </c>
    </row>
  </sheetData>
  <mergeCells count="1">
    <mergeCell ref="A1:G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16AF-357D-4F02-B79D-6C092F20E3C8}">
  <dimension ref="A1:B8"/>
  <sheetViews>
    <sheetView zoomScale="80" workbookViewId="0">
      <selection activeCell="F26" sqref="F26"/>
    </sheetView>
  </sheetViews>
  <sheetFormatPr defaultRowHeight="14.4" x14ac:dyDescent="0.3"/>
  <cols>
    <col min="1" max="1" width="12.5546875" bestFit="1" customWidth="1"/>
    <col min="2" max="2" width="13" bestFit="1" customWidth="1"/>
  </cols>
  <sheetData>
    <row r="1" spans="1:2" ht="15.6" x14ac:dyDescent="0.3">
      <c r="A1" s="43" t="s">
        <v>144</v>
      </c>
      <c r="B1" s="44"/>
    </row>
    <row r="2" spans="1:2" ht="15.6" x14ac:dyDescent="0.3">
      <c r="A2" s="32" t="s">
        <v>3</v>
      </c>
      <c r="B2" s="32" t="s">
        <v>120</v>
      </c>
    </row>
    <row r="3" spans="1:2" ht="15.6" x14ac:dyDescent="0.3">
      <c r="A3" s="33" t="s">
        <v>35</v>
      </c>
      <c r="B3" s="32">
        <v>43468.33</v>
      </c>
    </row>
    <row r="4" spans="1:2" ht="15.6" x14ac:dyDescent="0.3">
      <c r="A4" s="33" t="s">
        <v>19</v>
      </c>
      <c r="B4" s="32">
        <v>32441.64</v>
      </c>
    </row>
    <row r="5" spans="1:2" ht="15.6" x14ac:dyDescent="0.3">
      <c r="A5" s="33" t="s">
        <v>25</v>
      </c>
      <c r="B5" s="32">
        <v>34975.42</v>
      </c>
    </row>
    <row r="6" spans="1:2" ht="15.6" x14ac:dyDescent="0.3">
      <c r="A6" s="33" t="s">
        <v>21</v>
      </c>
      <c r="B6" s="32">
        <v>40248.79</v>
      </c>
    </row>
    <row r="7" spans="1:2" ht="15.6" x14ac:dyDescent="0.3">
      <c r="A7" s="33" t="s">
        <v>12</v>
      </c>
      <c r="B7" s="32">
        <v>44083.58</v>
      </c>
    </row>
    <row r="8" spans="1:2" ht="15.6" x14ac:dyDescent="0.3">
      <c r="A8" s="33" t="s">
        <v>119</v>
      </c>
      <c r="B8" s="32">
        <v>195217.76</v>
      </c>
    </row>
  </sheetData>
  <mergeCells count="1">
    <mergeCell ref="A1:B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597D-3DE2-49B6-8A0B-42E2221D9A9E}">
  <dimension ref="A1:C18"/>
  <sheetViews>
    <sheetView zoomScale="83" zoomScaleNormal="83" workbookViewId="0">
      <selection activeCell="U10" sqref="U10"/>
    </sheetView>
  </sheetViews>
  <sheetFormatPr defaultRowHeight="14.4" x14ac:dyDescent="0.3"/>
  <cols>
    <col min="1" max="1" width="11.88671875" bestFit="1" customWidth="1"/>
    <col min="2" max="2" width="11.6640625" bestFit="1" customWidth="1"/>
  </cols>
  <sheetData>
    <row r="1" spans="1:3" x14ac:dyDescent="0.3">
      <c r="A1" s="45" t="s">
        <v>143</v>
      </c>
      <c r="B1" s="45"/>
    </row>
    <row r="2" spans="1:3" x14ac:dyDescent="0.3">
      <c r="A2" s="12" t="s">
        <v>118</v>
      </c>
      <c r="B2" s="13" t="s">
        <v>120</v>
      </c>
    </row>
    <row r="3" spans="1:3" x14ac:dyDescent="0.3">
      <c r="A3" s="13" t="s">
        <v>145</v>
      </c>
      <c r="B3" s="13">
        <v>145429.36000000002</v>
      </c>
    </row>
    <row r="4" spans="1:3" x14ac:dyDescent="0.3">
      <c r="A4" s="31" t="s">
        <v>147</v>
      </c>
      <c r="B4" s="13">
        <v>19029.96</v>
      </c>
    </row>
    <row r="5" spans="1:3" x14ac:dyDescent="0.3">
      <c r="A5" s="31" t="s">
        <v>148</v>
      </c>
      <c r="B5" s="13">
        <v>18507.339999999997</v>
      </c>
    </row>
    <row r="6" spans="1:3" x14ac:dyDescent="0.3">
      <c r="A6" s="31" t="s">
        <v>149</v>
      </c>
      <c r="B6" s="13">
        <v>20187.509999999998</v>
      </c>
    </row>
    <row r="7" spans="1:3" x14ac:dyDescent="0.3">
      <c r="A7" s="31" t="s">
        <v>150</v>
      </c>
      <c r="B7" s="13">
        <v>11609.039999999999</v>
      </c>
    </row>
    <row r="8" spans="1:3" ht="15.6" x14ac:dyDescent="0.3">
      <c r="A8" s="31" t="s">
        <v>151</v>
      </c>
      <c r="B8" s="13">
        <v>10091.699999999999</v>
      </c>
      <c r="C8" s="34"/>
    </row>
    <row r="9" spans="1:3" x14ac:dyDescent="0.3">
      <c r="A9" s="31" t="s">
        <v>152</v>
      </c>
      <c r="B9" s="13">
        <v>20533.499999999996</v>
      </c>
    </row>
    <row r="10" spans="1:3" x14ac:dyDescent="0.3">
      <c r="A10" s="31" t="s">
        <v>153</v>
      </c>
      <c r="B10" s="13">
        <v>14215.240000000002</v>
      </c>
    </row>
    <row r="11" spans="1:3" x14ac:dyDescent="0.3">
      <c r="A11" s="31" t="s">
        <v>154</v>
      </c>
      <c r="B11" s="13">
        <v>20135.030000000002</v>
      </c>
    </row>
    <row r="12" spans="1:3" x14ac:dyDescent="0.3">
      <c r="A12" s="31" t="s">
        <v>155</v>
      </c>
      <c r="B12" s="13">
        <v>11120.04</v>
      </c>
    </row>
    <row r="13" spans="1:3" x14ac:dyDescent="0.3">
      <c r="A13" s="13" t="s">
        <v>146</v>
      </c>
      <c r="B13" s="13">
        <v>49788.399999999994</v>
      </c>
    </row>
    <row r="14" spans="1:3" x14ac:dyDescent="0.3">
      <c r="A14" s="31" t="s">
        <v>156</v>
      </c>
      <c r="B14" s="13">
        <v>14914.650000000001</v>
      </c>
    </row>
    <row r="15" spans="1:3" x14ac:dyDescent="0.3">
      <c r="A15" s="31" t="s">
        <v>157</v>
      </c>
      <c r="B15" s="13">
        <v>14006.359999999999</v>
      </c>
    </row>
    <row r="16" spans="1:3" x14ac:dyDescent="0.3">
      <c r="A16" s="31" t="s">
        <v>158</v>
      </c>
      <c r="B16" s="13">
        <v>17655.219999999998</v>
      </c>
    </row>
    <row r="17" spans="1:2" x14ac:dyDescent="0.3">
      <c r="A17" s="31" t="s">
        <v>147</v>
      </c>
      <c r="B17" s="13">
        <v>3212.17</v>
      </c>
    </row>
    <row r="18" spans="1:2" x14ac:dyDescent="0.3">
      <c r="A18" s="13" t="s">
        <v>119</v>
      </c>
      <c r="B18" s="13">
        <v>195217.76</v>
      </c>
    </row>
  </sheetData>
  <mergeCells count="1">
    <mergeCell ref="A1:B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19BDB-C7AB-41F8-8B60-C5D756BD82E2}">
  <dimension ref="A1:W18"/>
  <sheetViews>
    <sheetView topLeftCell="A2" workbookViewId="0">
      <selection activeCell="H10" sqref="H10"/>
    </sheetView>
  </sheetViews>
  <sheetFormatPr defaultRowHeight="14.4" x14ac:dyDescent="0.3"/>
  <cols>
    <col min="1" max="1" width="20" customWidth="1"/>
    <col min="2" max="2" width="12" customWidth="1"/>
    <col min="3" max="3" width="13.33203125" customWidth="1"/>
    <col min="6" max="6" width="16.33203125" customWidth="1"/>
    <col min="7" max="7" width="13.5546875" customWidth="1"/>
    <col min="8" max="8" width="12.109375" customWidth="1"/>
    <col min="9" max="9" width="15.21875" customWidth="1"/>
  </cols>
  <sheetData>
    <row r="1" spans="1:23" x14ac:dyDescent="0.3">
      <c r="A1" s="46" t="s">
        <v>81</v>
      </c>
      <c r="B1" s="46"/>
      <c r="C1" s="46"/>
      <c r="D1" s="46"/>
      <c r="E1" s="46"/>
      <c r="F1" s="46"/>
      <c r="G1" s="46"/>
      <c r="H1" s="46"/>
      <c r="I1" s="46"/>
      <c r="J1" s="46"/>
      <c r="K1" s="46"/>
      <c r="L1" s="46"/>
      <c r="M1" s="46"/>
      <c r="N1" s="46"/>
      <c r="O1" s="46"/>
      <c r="P1" s="46"/>
      <c r="Q1" s="46"/>
      <c r="R1" s="46"/>
      <c r="S1" s="46"/>
      <c r="T1" s="46"/>
      <c r="U1" s="46"/>
      <c r="V1" s="46"/>
      <c r="W1" s="46"/>
    </row>
    <row r="3" spans="1:23" x14ac:dyDescent="0.3">
      <c r="A3" s="4" t="s">
        <v>82</v>
      </c>
      <c r="B3" s="4" t="s">
        <v>78</v>
      </c>
    </row>
    <row r="4" spans="1:23" x14ac:dyDescent="0.3">
      <c r="A4" t="s">
        <v>83</v>
      </c>
      <c r="B4">
        <v>0.77340306414342619</v>
      </c>
    </row>
    <row r="5" spans="1:23" x14ac:dyDescent="0.3">
      <c r="A5" t="s">
        <v>84</v>
      </c>
      <c r="B5">
        <v>0.59815229962644056</v>
      </c>
    </row>
    <row r="6" spans="1:23" x14ac:dyDescent="0.3">
      <c r="A6" t="s">
        <v>85</v>
      </c>
      <c r="B6">
        <v>0.59612276578617007</v>
      </c>
    </row>
    <row r="7" spans="1:23" x14ac:dyDescent="0.3">
      <c r="A7" t="s">
        <v>86</v>
      </c>
      <c r="B7">
        <v>86.281230529665166</v>
      </c>
    </row>
    <row r="8" spans="1:23" x14ac:dyDescent="0.3">
      <c r="A8" t="s">
        <v>87</v>
      </c>
      <c r="B8">
        <v>200</v>
      </c>
    </row>
    <row r="10" spans="1:23" x14ac:dyDescent="0.3">
      <c r="A10" s="47" t="s">
        <v>88</v>
      </c>
      <c r="B10" s="47"/>
      <c r="C10" s="47"/>
      <c r="D10" s="47"/>
      <c r="E10" s="47"/>
      <c r="F10" s="47"/>
    </row>
    <row r="11" spans="1:23" x14ac:dyDescent="0.3">
      <c r="A11" s="8"/>
      <c r="B11" s="9" t="s">
        <v>93</v>
      </c>
      <c r="C11" s="9" t="s">
        <v>94</v>
      </c>
      <c r="D11" s="9" t="s">
        <v>95</v>
      </c>
      <c r="E11" s="9" t="s">
        <v>96</v>
      </c>
      <c r="F11" s="9" t="s">
        <v>97</v>
      </c>
    </row>
    <row r="12" spans="1:23" x14ac:dyDescent="0.3">
      <c r="A12" s="11" t="s">
        <v>89</v>
      </c>
      <c r="B12" s="11">
        <v>1</v>
      </c>
      <c r="C12" s="11">
        <v>2194058.1833402822</v>
      </c>
      <c r="D12" s="11">
        <v>2194058.1833402822</v>
      </c>
      <c r="E12" s="11">
        <v>294.72398427548114</v>
      </c>
      <c r="F12" s="11">
        <v>4.6269367558910499E-41</v>
      </c>
    </row>
    <row r="13" spans="1:23" x14ac:dyDescent="0.3">
      <c r="A13" s="11" t="s">
        <v>90</v>
      </c>
      <c r="B13" s="11">
        <v>198</v>
      </c>
      <c r="C13" s="11">
        <v>1474001.2468592182</v>
      </c>
      <c r="D13" s="11">
        <v>7444.4507417132236</v>
      </c>
      <c r="E13" s="11"/>
      <c r="F13" s="11"/>
    </row>
    <row r="14" spans="1:23" x14ac:dyDescent="0.3">
      <c r="A14" s="11" t="s">
        <v>91</v>
      </c>
      <c r="B14" s="11">
        <v>199</v>
      </c>
      <c r="C14" s="11">
        <v>3668059.4301995002</v>
      </c>
      <c r="D14" s="11"/>
      <c r="E14" s="11"/>
      <c r="F14" s="11"/>
    </row>
    <row r="16" spans="1:23" x14ac:dyDescent="0.3">
      <c r="A16" s="8"/>
      <c r="B16" s="9" t="s">
        <v>98</v>
      </c>
      <c r="C16" s="9" t="s">
        <v>86</v>
      </c>
      <c r="D16" s="9" t="s">
        <v>99</v>
      </c>
      <c r="E16" s="9" t="s">
        <v>100</v>
      </c>
      <c r="F16" s="9" t="s">
        <v>101</v>
      </c>
      <c r="G16" s="9" t="s">
        <v>102</v>
      </c>
      <c r="H16" s="9" t="s">
        <v>103</v>
      </c>
      <c r="I16" s="9" t="s">
        <v>104</v>
      </c>
    </row>
    <row r="17" spans="1:9" x14ac:dyDescent="0.3">
      <c r="A17" s="10" t="s">
        <v>92</v>
      </c>
      <c r="B17" s="11">
        <v>-1.0315504901911368</v>
      </c>
      <c r="C17" s="11">
        <v>20.860617005445505</v>
      </c>
      <c r="D17" s="11">
        <v>-4.9449663445805959E-2</v>
      </c>
      <c r="E17" s="11">
        <v>0.96061079696907459</v>
      </c>
      <c r="F17" s="11">
        <v>-42.169051823378965</v>
      </c>
      <c r="G17" s="11">
        <v>40.105950842996691</v>
      </c>
      <c r="H17" s="11">
        <v>-42.169051823378965</v>
      </c>
      <c r="I17" s="11">
        <v>40.105950842996691</v>
      </c>
    </row>
    <row r="18" spans="1:9" x14ac:dyDescent="0.3">
      <c r="A18" s="10" t="s">
        <v>105</v>
      </c>
      <c r="B18" s="11">
        <v>0.35085598819512254</v>
      </c>
      <c r="C18" s="11">
        <v>2.0437188630135626E-2</v>
      </c>
      <c r="D18" s="11">
        <v>17.167527028535048</v>
      </c>
      <c r="E18" s="11">
        <v>4.6269367558907868E-41</v>
      </c>
      <c r="F18" s="11">
        <v>0.31055349501865764</v>
      </c>
      <c r="G18" s="11">
        <v>0.39115848137158743</v>
      </c>
      <c r="H18" s="11">
        <v>0.31055349501865764</v>
      </c>
      <c r="I18" s="11">
        <v>0.39115848137158743</v>
      </c>
    </row>
  </sheetData>
  <mergeCells count="2">
    <mergeCell ref="A1:W1"/>
    <mergeCell ref="A10:F10"/>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0820-596D-4024-8E0C-35AC1FD5660E}">
  <dimension ref="A1:B15"/>
  <sheetViews>
    <sheetView workbookViewId="0">
      <selection activeCell="B6" sqref="B6"/>
    </sheetView>
  </sheetViews>
  <sheetFormatPr defaultRowHeight="14.4" x14ac:dyDescent="0.3"/>
  <cols>
    <col min="1" max="1" width="14.21875" style="14" customWidth="1"/>
    <col min="2" max="2" width="15.5546875" style="14" customWidth="1"/>
    <col min="3" max="16384" width="8.88671875" style="14"/>
  </cols>
  <sheetData>
    <row r="1" spans="1:2" x14ac:dyDescent="0.3">
      <c r="A1" s="48" t="s">
        <v>5</v>
      </c>
      <c r="B1" s="48"/>
    </row>
    <row r="2" spans="1:2" x14ac:dyDescent="0.3">
      <c r="A2" s="17"/>
      <c r="B2" s="17"/>
    </row>
    <row r="3" spans="1:2" x14ac:dyDescent="0.3">
      <c r="A3" s="17" t="s">
        <v>106</v>
      </c>
      <c r="B3" s="17">
        <v>976.08879999999965</v>
      </c>
    </row>
    <row r="4" spans="1:2" x14ac:dyDescent="0.3">
      <c r="A4" s="17" t="s">
        <v>86</v>
      </c>
      <c r="B4" s="17">
        <v>21.161850448978406</v>
      </c>
    </row>
    <row r="5" spans="1:2" x14ac:dyDescent="0.3">
      <c r="A5" s="17" t="s">
        <v>107</v>
      </c>
      <c r="B5" s="17">
        <v>976.72</v>
      </c>
    </row>
    <row r="6" spans="1:2" x14ac:dyDescent="0.3">
      <c r="A6" s="17" t="s">
        <v>108</v>
      </c>
      <c r="B6" s="17" t="e">
        <v>#N/A</v>
      </c>
    </row>
    <row r="7" spans="1:2" x14ac:dyDescent="0.3">
      <c r="A7" s="17" t="s">
        <v>109</v>
      </c>
      <c r="B7" s="17">
        <v>299.27375909856431</v>
      </c>
    </row>
    <row r="8" spans="1:2" x14ac:dyDescent="0.3">
      <c r="A8" s="17" t="s">
        <v>110</v>
      </c>
      <c r="B8" s="17">
        <v>89564.782884985514</v>
      </c>
    </row>
    <row r="9" spans="1:2" x14ac:dyDescent="0.3">
      <c r="A9" s="17" t="s">
        <v>111</v>
      </c>
      <c r="B9" s="17">
        <v>-8.8595231919740502E-2</v>
      </c>
    </row>
    <row r="10" spans="1:2" x14ac:dyDescent="0.3">
      <c r="A10" s="17" t="s">
        <v>112</v>
      </c>
      <c r="B10" s="17">
        <v>0.14685796564193557</v>
      </c>
    </row>
    <row r="11" spans="1:2" x14ac:dyDescent="0.3">
      <c r="A11" s="17" t="s">
        <v>113</v>
      </c>
      <c r="B11" s="17">
        <v>1665.15</v>
      </c>
    </row>
    <row r="12" spans="1:2" x14ac:dyDescent="0.3">
      <c r="A12" s="17" t="s">
        <v>114</v>
      </c>
      <c r="B12" s="17">
        <v>258.51</v>
      </c>
    </row>
    <row r="13" spans="1:2" x14ac:dyDescent="0.3">
      <c r="A13" s="17" t="s">
        <v>115</v>
      </c>
      <c r="B13" s="17">
        <v>1923.66</v>
      </c>
    </row>
    <row r="14" spans="1:2" x14ac:dyDescent="0.3">
      <c r="A14" s="17" t="s">
        <v>116</v>
      </c>
      <c r="B14" s="17">
        <v>195217.75999999992</v>
      </c>
    </row>
    <row r="15" spans="1:2" x14ac:dyDescent="0.3">
      <c r="A15" s="17" t="s">
        <v>117</v>
      </c>
      <c r="B15" s="17">
        <v>200</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K11" sqref="K11"/>
    </sheetView>
  </sheetViews>
  <sheetFormatPr defaultColWidth="14.44140625" defaultRowHeight="15" customHeight="1" x14ac:dyDescent="0.3"/>
  <cols>
    <col min="1" max="1" width="16.5546875" customWidth="1"/>
    <col min="2" max="2" width="18" customWidth="1"/>
    <col min="3" max="3" width="9.5546875" customWidth="1"/>
    <col min="4" max="4" width="18.5546875" customWidth="1"/>
    <col min="5" max="5" width="10.6640625" customWidth="1"/>
    <col min="6" max="6" width="11.44140625" customWidth="1"/>
    <col min="7" max="7" width="11.6640625" customWidth="1"/>
    <col min="8" max="8" width="16.6640625" customWidth="1"/>
    <col min="9" max="9" width="9" customWidth="1"/>
    <col min="10" max="10" width="22.44140625" customWidth="1"/>
    <col min="11" max="11" width="12.88671875" customWidth="1"/>
    <col min="12" max="12" width="18.5546875" style="25" customWidth="1"/>
    <col min="13" max="26" width="8.6640625" customWidth="1"/>
  </cols>
  <sheetData>
    <row r="1" spans="1:26" ht="14.4" x14ac:dyDescent="0.3">
      <c r="A1" s="3" t="s">
        <v>1</v>
      </c>
      <c r="B1" s="3" t="s">
        <v>2</v>
      </c>
      <c r="C1" s="3" t="s">
        <v>3</v>
      </c>
      <c r="D1" s="3" t="s">
        <v>4</v>
      </c>
      <c r="E1" s="3" t="s">
        <v>5</v>
      </c>
      <c r="F1" s="3" t="s">
        <v>6</v>
      </c>
      <c r="G1" s="3" t="s">
        <v>7</v>
      </c>
      <c r="H1" s="3" t="s">
        <v>8</v>
      </c>
      <c r="I1" s="3" t="s">
        <v>9</v>
      </c>
      <c r="J1" s="3" t="s">
        <v>77</v>
      </c>
      <c r="K1" s="3" t="s">
        <v>118</v>
      </c>
      <c r="L1" s="23" t="s">
        <v>136</v>
      </c>
      <c r="M1" s="3"/>
      <c r="N1" s="3"/>
      <c r="O1" s="3"/>
      <c r="P1" s="3"/>
      <c r="Q1" s="3"/>
      <c r="R1" s="3"/>
      <c r="S1" s="3"/>
      <c r="T1" s="3"/>
      <c r="U1" s="3"/>
      <c r="V1" s="3"/>
      <c r="W1" s="3"/>
      <c r="X1" s="3"/>
      <c r="Y1" s="3"/>
      <c r="Z1" s="3"/>
    </row>
    <row r="2" spans="1:26" ht="14.4" x14ac:dyDescent="0.3">
      <c r="A2" s="15" t="s">
        <v>10</v>
      </c>
      <c r="B2" s="15" t="s">
        <v>11</v>
      </c>
      <c r="C2" s="15" t="s">
        <v>12</v>
      </c>
      <c r="D2" s="15" t="s">
        <v>13</v>
      </c>
      <c r="E2" s="15">
        <v>1036.0899999999999</v>
      </c>
      <c r="F2" s="15">
        <v>4</v>
      </c>
      <c r="G2" s="15">
        <v>0.2</v>
      </c>
      <c r="H2" s="16">
        <v>45392</v>
      </c>
      <c r="I2" s="15">
        <v>331.55</v>
      </c>
      <c r="J2" s="14">
        <f>SUMIF(B:B,B2,E:E)</f>
        <v>6255.7</v>
      </c>
      <c r="K2" s="14" t="str">
        <f t="shared" ref="K2:K33" si="0">TEXT(H2,"MMM-YYYY")</f>
        <v>Apr-2024</v>
      </c>
      <c r="L2" s="24">
        <f ca="1">NOW()</f>
        <v>46282.435960995368</v>
      </c>
    </row>
    <row r="3" spans="1:26" ht="14.4" x14ac:dyDescent="0.3">
      <c r="A3" s="15" t="s">
        <v>14</v>
      </c>
      <c r="B3" s="15" t="s">
        <v>15</v>
      </c>
      <c r="C3" s="15" t="s">
        <v>12</v>
      </c>
      <c r="D3" s="15" t="s">
        <v>16</v>
      </c>
      <c r="E3" s="15">
        <v>1101.28</v>
      </c>
      <c r="F3" s="15">
        <v>3</v>
      </c>
      <c r="G3" s="15">
        <v>0.2</v>
      </c>
      <c r="H3" s="16">
        <v>45393</v>
      </c>
      <c r="I3" s="15">
        <v>440.51</v>
      </c>
      <c r="J3" s="14">
        <f t="shared" ref="J3:J33" si="1">SUMIF(B:B,B3,E:E)</f>
        <v>8331.8499999999985</v>
      </c>
      <c r="K3" s="14" t="str">
        <f>TEXT(H3,"MMM-YYYY")</f>
        <v>Apr-2024</v>
      </c>
      <c r="L3" s="24">
        <f t="shared" ref="L3:L33" ca="1" si="2">NOW()</f>
        <v>46282.435960995368</v>
      </c>
    </row>
    <row r="4" spans="1:26" ht="14.4" x14ac:dyDescent="0.3">
      <c r="A4" s="15" t="s">
        <v>17</v>
      </c>
      <c r="B4" s="15" t="s">
        <v>18</v>
      </c>
      <c r="C4" s="15" t="s">
        <v>19</v>
      </c>
      <c r="D4" s="15" t="s">
        <v>13</v>
      </c>
      <c r="E4" s="15">
        <v>713.34</v>
      </c>
      <c r="F4" s="15">
        <v>17</v>
      </c>
      <c r="G4" s="15">
        <v>0</v>
      </c>
      <c r="H4" s="16">
        <v>45396</v>
      </c>
      <c r="I4" s="15">
        <v>285.33999999999997</v>
      </c>
      <c r="J4" s="14">
        <f t="shared" si="1"/>
        <v>5615.2800000000007</v>
      </c>
      <c r="K4" s="14" t="str">
        <f t="shared" si="0"/>
        <v>Apr-2024</v>
      </c>
      <c r="L4" s="24">
        <f t="shared" ca="1" si="2"/>
        <v>46282.435960995368</v>
      </c>
    </row>
    <row r="5" spans="1:26" ht="14.4" x14ac:dyDescent="0.3">
      <c r="A5" s="15" t="s">
        <v>20</v>
      </c>
      <c r="B5" s="15" t="s">
        <v>15</v>
      </c>
      <c r="C5" s="15" t="s">
        <v>21</v>
      </c>
      <c r="D5" s="15" t="s">
        <v>22</v>
      </c>
      <c r="E5" s="15">
        <v>760.93</v>
      </c>
      <c r="F5" s="15">
        <v>4</v>
      </c>
      <c r="G5" s="15">
        <v>0.15</v>
      </c>
      <c r="H5" s="16">
        <v>45396</v>
      </c>
      <c r="I5" s="15">
        <v>161.69999999999999</v>
      </c>
      <c r="J5" s="14">
        <f t="shared" si="1"/>
        <v>8331.8499999999985</v>
      </c>
      <c r="K5" s="14" t="str">
        <f t="shared" si="0"/>
        <v>Apr-2024</v>
      </c>
      <c r="L5" s="24">
        <f t="shared" ca="1" si="2"/>
        <v>46282.435960995368</v>
      </c>
    </row>
    <row r="6" spans="1:26" ht="14.4" x14ac:dyDescent="0.3">
      <c r="A6" s="15" t="s">
        <v>23</v>
      </c>
      <c r="B6" s="15" t="s">
        <v>24</v>
      </c>
      <c r="C6" s="15" t="s">
        <v>25</v>
      </c>
      <c r="D6" s="15" t="s">
        <v>13</v>
      </c>
      <c r="E6" s="15">
        <v>847</v>
      </c>
      <c r="F6" s="15">
        <v>12</v>
      </c>
      <c r="G6" s="15">
        <v>0.2</v>
      </c>
      <c r="H6" s="16">
        <v>45397</v>
      </c>
      <c r="I6" s="15">
        <v>271.04000000000002</v>
      </c>
      <c r="J6" s="14">
        <f t="shared" si="1"/>
        <v>20774.739999999998</v>
      </c>
      <c r="K6" s="14" t="str">
        <f t="shared" si="0"/>
        <v>Apr-2024</v>
      </c>
      <c r="L6" s="24">
        <f t="shared" ca="1" si="2"/>
        <v>46282.435960995368</v>
      </c>
    </row>
    <row r="7" spans="1:26" ht="14.4" x14ac:dyDescent="0.3">
      <c r="A7" s="15" t="s">
        <v>26</v>
      </c>
      <c r="B7" s="15" t="s">
        <v>27</v>
      </c>
      <c r="C7" s="15" t="s">
        <v>25</v>
      </c>
      <c r="D7" s="15" t="s">
        <v>28</v>
      </c>
      <c r="E7" s="15">
        <v>965.64</v>
      </c>
      <c r="F7" s="15">
        <v>8</v>
      </c>
      <c r="G7" s="15">
        <v>0.1</v>
      </c>
      <c r="H7" s="16">
        <v>45398</v>
      </c>
      <c r="I7" s="15">
        <v>304.18</v>
      </c>
      <c r="J7" s="14">
        <f t="shared" si="1"/>
        <v>7881.9</v>
      </c>
      <c r="K7" s="14" t="str">
        <f t="shared" si="0"/>
        <v>Apr-2024</v>
      </c>
      <c r="L7" s="24">
        <f t="shared" ca="1" si="2"/>
        <v>46282.435960995368</v>
      </c>
    </row>
    <row r="8" spans="1:26" ht="14.4" x14ac:dyDescent="0.3">
      <c r="A8" s="15" t="s">
        <v>29</v>
      </c>
      <c r="B8" s="15" t="s">
        <v>30</v>
      </c>
      <c r="C8" s="15" t="s">
        <v>12</v>
      </c>
      <c r="D8" s="15" t="s">
        <v>22</v>
      </c>
      <c r="E8" s="15">
        <v>1317.53</v>
      </c>
      <c r="F8" s="15">
        <v>12</v>
      </c>
      <c r="G8" s="15">
        <v>0.05</v>
      </c>
      <c r="H8" s="16">
        <v>45398</v>
      </c>
      <c r="I8" s="15">
        <v>312.91000000000003</v>
      </c>
      <c r="J8" s="14">
        <f t="shared" si="1"/>
        <v>9970.1999999999989</v>
      </c>
      <c r="K8" s="14" t="str">
        <f t="shared" si="0"/>
        <v>Apr-2024</v>
      </c>
      <c r="L8" s="24">
        <f t="shared" ca="1" si="2"/>
        <v>46282.435960995368</v>
      </c>
    </row>
    <row r="9" spans="1:26" ht="14.4" x14ac:dyDescent="0.3">
      <c r="A9" s="15" t="s">
        <v>31</v>
      </c>
      <c r="B9" s="15" t="s">
        <v>32</v>
      </c>
      <c r="C9" s="15" t="s">
        <v>19</v>
      </c>
      <c r="D9" s="15" t="s">
        <v>28</v>
      </c>
      <c r="E9" s="15">
        <v>1074.47</v>
      </c>
      <c r="F9" s="15">
        <v>6</v>
      </c>
      <c r="G9" s="15">
        <v>0.2</v>
      </c>
      <c r="H9" s="16">
        <v>45401</v>
      </c>
      <c r="I9" s="15">
        <v>300.85000000000002</v>
      </c>
      <c r="J9" s="14">
        <f t="shared" si="1"/>
        <v>17143.289999999997</v>
      </c>
      <c r="K9" s="14" t="str">
        <f t="shared" si="0"/>
        <v>Apr-2024</v>
      </c>
      <c r="L9" s="24">
        <f t="shared" ca="1" si="2"/>
        <v>46282.435960995368</v>
      </c>
    </row>
    <row r="10" spans="1:26" ht="14.4" x14ac:dyDescent="0.3">
      <c r="A10" s="15" t="s">
        <v>33</v>
      </c>
      <c r="B10" s="15" t="s">
        <v>34</v>
      </c>
      <c r="C10" s="15" t="s">
        <v>35</v>
      </c>
      <c r="D10" s="15" t="s">
        <v>13</v>
      </c>
      <c r="E10" s="15">
        <v>501.54</v>
      </c>
      <c r="F10" s="15">
        <v>11</v>
      </c>
      <c r="G10" s="15">
        <v>0.05</v>
      </c>
      <c r="H10" s="16">
        <v>45401</v>
      </c>
      <c r="I10" s="15">
        <v>190.59</v>
      </c>
      <c r="J10" s="14">
        <f t="shared" si="1"/>
        <v>3968.59</v>
      </c>
      <c r="K10" s="14" t="str">
        <f t="shared" si="0"/>
        <v>Apr-2024</v>
      </c>
      <c r="L10" s="24">
        <f t="shared" ca="1" si="2"/>
        <v>46282.435960995368</v>
      </c>
    </row>
    <row r="11" spans="1:26" ht="14.4" x14ac:dyDescent="0.3">
      <c r="A11" s="15" t="s">
        <v>36</v>
      </c>
      <c r="B11" s="15" t="s">
        <v>37</v>
      </c>
      <c r="C11" s="15" t="s">
        <v>35</v>
      </c>
      <c r="D11" s="15" t="s">
        <v>16</v>
      </c>
      <c r="E11" s="15">
        <v>737.31</v>
      </c>
      <c r="F11" s="15">
        <v>2</v>
      </c>
      <c r="G11" s="15">
        <v>0.05</v>
      </c>
      <c r="H11" s="16">
        <v>45401</v>
      </c>
      <c r="I11" s="15">
        <v>350.22</v>
      </c>
      <c r="J11" s="14">
        <f t="shared" si="1"/>
        <v>7020.3799999999992</v>
      </c>
      <c r="K11" s="14" t="str">
        <f t="shared" si="0"/>
        <v>Apr-2024</v>
      </c>
      <c r="L11" s="24">
        <f t="shared" ca="1" si="2"/>
        <v>46282.435960995368</v>
      </c>
    </row>
    <row r="12" spans="1:26" ht="14.4" x14ac:dyDescent="0.3">
      <c r="A12" s="15" t="s">
        <v>38</v>
      </c>
      <c r="B12" s="15" t="s">
        <v>39</v>
      </c>
      <c r="C12" s="15" t="s">
        <v>12</v>
      </c>
      <c r="D12" s="15" t="s">
        <v>40</v>
      </c>
      <c r="E12" s="15">
        <v>1572.82</v>
      </c>
      <c r="F12" s="15">
        <v>6</v>
      </c>
      <c r="G12" s="15">
        <v>0.05</v>
      </c>
      <c r="H12" s="16">
        <v>45402</v>
      </c>
      <c r="I12" s="15">
        <v>672.38</v>
      </c>
      <c r="J12" s="14">
        <f t="shared" si="1"/>
        <v>11398.32</v>
      </c>
      <c r="K12" s="14" t="str">
        <f t="shared" si="0"/>
        <v>Apr-2024</v>
      </c>
      <c r="L12" s="24">
        <f t="shared" ca="1" si="2"/>
        <v>46282.435960995368</v>
      </c>
    </row>
    <row r="13" spans="1:26" ht="14.4" x14ac:dyDescent="0.3">
      <c r="A13" s="15" t="s">
        <v>38</v>
      </c>
      <c r="B13" s="15" t="s">
        <v>37</v>
      </c>
      <c r="C13" s="15" t="s">
        <v>35</v>
      </c>
      <c r="D13" s="15" t="s">
        <v>13</v>
      </c>
      <c r="E13" s="15">
        <v>1343.13</v>
      </c>
      <c r="F13" s="15">
        <v>14</v>
      </c>
      <c r="G13" s="15">
        <v>0.15</v>
      </c>
      <c r="H13" s="16">
        <v>45404</v>
      </c>
      <c r="I13" s="15">
        <v>456.66</v>
      </c>
      <c r="J13" s="14">
        <f t="shared" si="1"/>
        <v>7020.3799999999992</v>
      </c>
      <c r="K13" s="14" t="str">
        <f t="shared" si="0"/>
        <v>Apr-2024</v>
      </c>
      <c r="L13" s="24">
        <f t="shared" ca="1" si="2"/>
        <v>46282.435960995368</v>
      </c>
    </row>
    <row r="14" spans="1:26" ht="14.4" x14ac:dyDescent="0.3">
      <c r="A14" s="15" t="s">
        <v>26</v>
      </c>
      <c r="B14" s="15" t="s">
        <v>27</v>
      </c>
      <c r="C14" s="15" t="s">
        <v>35</v>
      </c>
      <c r="D14" s="15" t="s">
        <v>13</v>
      </c>
      <c r="E14" s="15">
        <v>1191.58</v>
      </c>
      <c r="F14" s="15">
        <v>14</v>
      </c>
      <c r="G14" s="15">
        <v>0.05</v>
      </c>
      <c r="H14" s="16">
        <v>45406</v>
      </c>
      <c r="I14" s="15">
        <v>452.8</v>
      </c>
      <c r="J14" s="14">
        <f t="shared" si="1"/>
        <v>7881.9</v>
      </c>
      <c r="K14" s="14" t="str">
        <f t="shared" si="0"/>
        <v>Apr-2024</v>
      </c>
      <c r="L14" s="24">
        <f t="shared" ca="1" si="2"/>
        <v>46282.435960995368</v>
      </c>
    </row>
    <row r="15" spans="1:26" ht="14.4" x14ac:dyDescent="0.3">
      <c r="A15" s="15" t="s">
        <v>41</v>
      </c>
      <c r="B15" s="15" t="s">
        <v>15</v>
      </c>
      <c r="C15" s="15" t="s">
        <v>12</v>
      </c>
      <c r="D15" s="15" t="s">
        <v>28</v>
      </c>
      <c r="E15" s="15">
        <v>822.28</v>
      </c>
      <c r="F15" s="15">
        <v>7</v>
      </c>
      <c r="G15" s="15">
        <v>0.05</v>
      </c>
      <c r="H15" s="16">
        <v>45406</v>
      </c>
      <c r="I15" s="15">
        <v>273.41000000000003</v>
      </c>
      <c r="J15" s="14">
        <f t="shared" si="1"/>
        <v>8331.8499999999985</v>
      </c>
      <c r="K15" s="14" t="str">
        <f t="shared" si="0"/>
        <v>Apr-2024</v>
      </c>
      <c r="L15" s="24">
        <f t="shared" ca="1" si="2"/>
        <v>46282.435960995368</v>
      </c>
    </row>
    <row r="16" spans="1:26" ht="14.4" x14ac:dyDescent="0.3">
      <c r="A16" s="15" t="s">
        <v>42</v>
      </c>
      <c r="B16" s="15" t="s">
        <v>43</v>
      </c>
      <c r="C16" s="15" t="s">
        <v>25</v>
      </c>
      <c r="D16" s="15" t="s">
        <v>28</v>
      </c>
      <c r="E16" s="15">
        <v>521.66999999999996</v>
      </c>
      <c r="F16" s="15">
        <v>15</v>
      </c>
      <c r="G16" s="15">
        <v>0.15</v>
      </c>
      <c r="H16" s="16">
        <v>45409</v>
      </c>
      <c r="I16" s="15">
        <v>155.19999999999999</v>
      </c>
      <c r="J16" s="14">
        <f t="shared" si="1"/>
        <v>1672.88</v>
      </c>
      <c r="K16" s="14" t="str">
        <f t="shared" si="0"/>
        <v>Apr-2024</v>
      </c>
      <c r="L16" s="24">
        <f t="shared" ca="1" si="2"/>
        <v>46282.435960995368</v>
      </c>
    </row>
    <row r="17" spans="1:12" ht="14.4" x14ac:dyDescent="0.3">
      <c r="A17" s="15" t="s">
        <v>20</v>
      </c>
      <c r="B17" s="15" t="s">
        <v>44</v>
      </c>
      <c r="C17" s="15" t="s">
        <v>21</v>
      </c>
      <c r="D17" s="15" t="s">
        <v>22</v>
      </c>
      <c r="E17" s="15">
        <v>1502.93</v>
      </c>
      <c r="F17" s="15">
        <v>14</v>
      </c>
      <c r="G17" s="15">
        <v>0.2</v>
      </c>
      <c r="H17" s="16">
        <v>45410</v>
      </c>
      <c r="I17" s="15">
        <v>300.58999999999997</v>
      </c>
      <c r="J17" s="14">
        <f t="shared" si="1"/>
        <v>7296.1900000000005</v>
      </c>
      <c r="K17" s="14" t="str">
        <f t="shared" si="0"/>
        <v>Apr-2024</v>
      </c>
      <c r="L17" s="24">
        <f t="shared" ca="1" si="2"/>
        <v>46282.435960995368</v>
      </c>
    </row>
    <row r="18" spans="1:12" ht="14.4" x14ac:dyDescent="0.3">
      <c r="A18" s="15" t="s">
        <v>45</v>
      </c>
      <c r="B18" s="15" t="s">
        <v>15</v>
      </c>
      <c r="C18" s="15" t="s">
        <v>21</v>
      </c>
      <c r="D18" s="15" t="s">
        <v>13</v>
      </c>
      <c r="E18" s="15">
        <v>877.58</v>
      </c>
      <c r="F18" s="15">
        <v>10</v>
      </c>
      <c r="G18" s="15">
        <v>0.15</v>
      </c>
      <c r="H18" s="16">
        <v>45411</v>
      </c>
      <c r="I18" s="15">
        <v>298.38</v>
      </c>
      <c r="J18" s="14">
        <f t="shared" si="1"/>
        <v>8331.8499999999985</v>
      </c>
      <c r="K18" s="14" t="str">
        <f t="shared" si="0"/>
        <v>Apr-2024</v>
      </c>
      <c r="L18" s="24">
        <f t="shared" ca="1" si="2"/>
        <v>46282.435960995368</v>
      </c>
    </row>
    <row r="19" spans="1:12" ht="14.4" x14ac:dyDescent="0.3">
      <c r="A19" s="15" t="s">
        <v>29</v>
      </c>
      <c r="B19" s="15" t="s">
        <v>46</v>
      </c>
      <c r="C19" s="15" t="s">
        <v>12</v>
      </c>
      <c r="D19" s="15" t="s">
        <v>13</v>
      </c>
      <c r="E19" s="15">
        <v>636.70000000000005</v>
      </c>
      <c r="F19" s="15">
        <v>4</v>
      </c>
      <c r="G19" s="15">
        <v>0.2</v>
      </c>
      <c r="H19" s="16">
        <v>45411</v>
      </c>
      <c r="I19" s="15">
        <v>203.74</v>
      </c>
      <c r="J19" s="14">
        <f t="shared" si="1"/>
        <v>8635.9500000000007</v>
      </c>
      <c r="K19" s="14" t="str">
        <f t="shared" si="0"/>
        <v>Apr-2024</v>
      </c>
      <c r="L19" s="24">
        <f t="shared" ca="1" si="2"/>
        <v>46282.435960995368</v>
      </c>
    </row>
    <row r="20" spans="1:12" ht="14.4" x14ac:dyDescent="0.3">
      <c r="A20" s="15" t="s">
        <v>47</v>
      </c>
      <c r="B20" s="15" t="s">
        <v>48</v>
      </c>
      <c r="C20" s="15" t="s">
        <v>12</v>
      </c>
      <c r="D20" s="15" t="s">
        <v>13</v>
      </c>
      <c r="E20" s="15">
        <v>1506.14</v>
      </c>
      <c r="F20" s="15">
        <v>13</v>
      </c>
      <c r="G20" s="15">
        <v>0.2</v>
      </c>
      <c r="H20" s="16">
        <v>45412</v>
      </c>
      <c r="I20" s="15">
        <v>481.96</v>
      </c>
      <c r="J20" s="14">
        <f t="shared" si="1"/>
        <v>7251.18</v>
      </c>
      <c r="K20" s="14" t="str">
        <f t="shared" si="0"/>
        <v>Apr-2024</v>
      </c>
      <c r="L20" s="24">
        <f t="shared" ca="1" si="2"/>
        <v>46282.435960995368</v>
      </c>
    </row>
    <row r="21" spans="1:12" ht="15.75" customHeight="1" x14ac:dyDescent="0.3">
      <c r="A21" s="15" t="s">
        <v>31</v>
      </c>
      <c r="B21" s="15" t="s">
        <v>32</v>
      </c>
      <c r="C21" s="15" t="s">
        <v>35</v>
      </c>
      <c r="D21" s="15" t="s">
        <v>22</v>
      </c>
      <c r="E21" s="15">
        <v>645.02</v>
      </c>
      <c r="F21" s="15">
        <v>4</v>
      </c>
      <c r="G21" s="15">
        <v>0</v>
      </c>
      <c r="H21" s="16">
        <v>45414</v>
      </c>
      <c r="I21" s="15">
        <v>161.26</v>
      </c>
      <c r="J21" s="14">
        <f t="shared" si="1"/>
        <v>17143.289999999997</v>
      </c>
      <c r="K21" s="14" t="str">
        <f t="shared" si="0"/>
        <v>May-2024</v>
      </c>
      <c r="L21" s="24">
        <f t="shared" ca="1" si="2"/>
        <v>46282.435960995368</v>
      </c>
    </row>
    <row r="22" spans="1:12" ht="15.75" customHeight="1" x14ac:dyDescent="0.3">
      <c r="A22" s="15" t="s">
        <v>26</v>
      </c>
      <c r="B22" s="15" t="s">
        <v>49</v>
      </c>
      <c r="C22" s="15" t="s">
        <v>21</v>
      </c>
      <c r="D22" s="15" t="s">
        <v>16</v>
      </c>
      <c r="E22" s="15">
        <v>953.3</v>
      </c>
      <c r="F22" s="15">
        <v>11</v>
      </c>
      <c r="G22" s="15">
        <v>0</v>
      </c>
      <c r="H22" s="16">
        <v>45415</v>
      </c>
      <c r="I22" s="15">
        <v>476.65</v>
      </c>
      <c r="J22" s="14">
        <f t="shared" si="1"/>
        <v>8090.12</v>
      </c>
      <c r="K22" s="14" t="str">
        <f t="shared" si="0"/>
        <v>May-2024</v>
      </c>
      <c r="L22" s="24">
        <f t="shared" ca="1" si="2"/>
        <v>46282.435960995368</v>
      </c>
    </row>
    <row r="23" spans="1:12" ht="15.75" customHeight="1" x14ac:dyDescent="0.3">
      <c r="A23" s="15" t="s">
        <v>50</v>
      </c>
      <c r="B23" s="15" t="s">
        <v>15</v>
      </c>
      <c r="C23" s="15" t="s">
        <v>25</v>
      </c>
      <c r="D23" s="15" t="s">
        <v>22</v>
      </c>
      <c r="E23" s="15">
        <v>388.56</v>
      </c>
      <c r="F23" s="15">
        <v>14</v>
      </c>
      <c r="G23" s="15">
        <v>0.15</v>
      </c>
      <c r="H23" s="16">
        <v>45416</v>
      </c>
      <c r="I23" s="15">
        <v>82.57</v>
      </c>
      <c r="J23" s="14">
        <f t="shared" si="1"/>
        <v>8331.8499999999985</v>
      </c>
      <c r="K23" s="14" t="str">
        <f t="shared" si="0"/>
        <v>May-2024</v>
      </c>
      <c r="L23" s="24">
        <f t="shared" ca="1" si="2"/>
        <v>46282.435960995368</v>
      </c>
    </row>
    <row r="24" spans="1:12" ht="15.75" customHeight="1" x14ac:dyDescent="0.3">
      <c r="A24" s="15" t="s">
        <v>10</v>
      </c>
      <c r="B24" s="15" t="s">
        <v>32</v>
      </c>
      <c r="C24" s="15" t="s">
        <v>12</v>
      </c>
      <c r="D24" s="15" t="s">
        <v>13</v>
      </c>
      <c r="E24" s="15">
        <v>743.17</v>
      </c>
      <c r="F24" s="15">
        <v>9</v>
      </c>
      <c r="G24" s="15">
        <v>0</v>
      </c>
      <c r="H24" s="16">
        <v>45416</v>
      </c>
      <c r="I24" s="15">
        <v>297.27</v>
      </c>
      <c r="J24" s="14">
        <f t="shared" si="1"/>
        <v>17143.289999999997</v>
      </c>
      <c r="K24" s="14" t="str">
        <f t="shared" si="0"/>
        <v>May-2024</v>
      </c>
      <c r="L24" s="24">
        <f t="shared" ca="1" si="2"/>
        <v>46282.435960995368</v>
      </c>
    </row>
    <row r="25" spans="1:12" ht="15.75" customHeight="1" x14ac:dyDescent="0.3">
      <c r="A25" s="15" t="s">
        <v>41</v>
      </c>
      <c r="B25" s="15" t="s">
        <v>32</v>
      </c>
      <c r="C25" s="15" t="s">
        <v>35</v>
      </c>
      <c r="D25" s="15" t="s">
        <v>22</v>
      </c>
      <c r="E25" s="15">
        <v>706.37</v>
      </c>
      <c r="F25" s="15">
        <v>6</v>
      </c>
      <c r="G25" s="15">
        <v>0</v>
      </c>
      <c r="H25" s="16">
        <v>45416</v>
      </c>
      <c r="I25" s="15">
        <v>176.59</v>
      </c>
      <c r="J25" s="14">
        <f t="shared" si="1"/>
        <v>17143.289999999997</v>
      </c>
      <c r="K25" s="14" t="str">
        <f t="shared" si="0"/>
        <v>May-2024</v>
      </c>
      <c r="L25" s="24">
        <f t="shared" ca="1" si="2"/>
        <v>46282.435960995368</v>
      </c>
    </row>
    <row r="26" spans="1:12" ht="15.75" customHeight="1" x14ac:dyDescent="0.3">
      <c r="A26" s="15" t="s">
        <v>14</v>
      </c>
      <c r="B26" s="15" t="s">
        <v>32</v>
      </c>
      <c r="C26" s="15" t="s">
        <v>35</v>
      </c>
      <c r="D26" s="15" t="s">
        <v>40</v>
      </c>
      <c r="E26" s="15">
        <v>925.31</v>
      </c>
      <c r="F26" s="15">
        <v>8</v>
      </c>
      <c r="G26" s="15">
        <v>0.1</v>
      </c>
      <c r="H26" s="16">
        <v>45418</v>
      </c>
      <c r="I26" s="15">
        <v>374.75</v>
      </c>
      <c r="J26" s="14">
        <f t="shared" si="1"/>
        <v>17143.289999999997</v>
      </c>
      <c r="K26" s="14" t="str">
        <f t="shared" si="0"/>
        <v>May-2024</v>
      </c>
      <c r="L26" s="24">
        <f t="shared" ca="1" si="2"/>
        <v>46282.435960995368</v>
      </c>
    </row>
    <row r="27" spans="1:12" ht="15.75" customHeight="1" x14ac:dyDescent="0.3">
      <c r="A27" s="15" t="s">
        <v>36</v>
      </c>
      <c r="B27" s="15" t="s">
        <v>51</v>
      </c>
      <c r="C27" s="15" t="s">
        <v>21</v>
      </c>
      <c r="D27" s="15" t="s">
        <v>22</v>
      </c>
      <c r="E27" s="15">
        <v>1173.1199999999999</v>
      </c>
      <c r="F27" s="15">
        <v>18</v>
      </c>
      <c r="G27" s="15">
        <v>0</v>
      </c>
      <c r="H27" s="16">
        <v>45418</v>
      </c>
      <c r="I27" s="15">
        <v>293.27999999999997</v>
      </c>
      <c r="J27" s="14">
        <f t="shared" si="1"/>
        <v>5801.29</v>
      </c>
      <c r="K27" s="14" t="str">
        <f t="shared" si="0"/>
        <v>May-2024</v>
      </c>
      <c r="L27" s="24">
        <f t="shared" ca="1" si="2"/>
        <v>46282.435960995368</v>
      </c>
    </row>
    <row r="28" spans="1:12" ht="15.75" customHeight="1" x14ac:dyDescent="0.3">
      <c r="A28" s="15" t="s">
        <v>23</v>
      </c>
      <c r="B28" s="15" t="s">
        <v>52</v>
      </c>
      <c r="C28" s="15" t="s">
        <v>25</v>
      </c>
      <c r="D28" s="15" t="s">
        <v>28</v>
      </c>
      <c r="E28" s="15">
        <v>675.54</v>
      </c>
      <c r="F28" s="15">
        <v>17</v>
      </c>
      <c r="G28" s="15">
        <v>0</v>
      </c>
      <c r="H28" s="16">
        <v>45420</v>
      </c>
      <c r="I28" s="15">
        <v>236.44</v>
      </c>
      <c r="J28" s="14">
        <f t="shared" si="1"/>
        <v>1450.99</v>
      </c>
      <c r="K28" s="14" t="str">
        <f t="shared" si="0"/>
        <v>May-2024</v>
      </c>
      <c r="L28" s="24">
        <f t="shared" ca="1" si="2"/>
        <v>46282.435960995368</v>
      </c>
    </row>
    <row r="29" spans="1:12" ht="15.75" customHeight="1" x14ac:dyDescent="0.3">
      <c r="A29" s="15" t="s">
        <v>26</v>
      </c>
      <c r="B29" s="15" t="s">
        <v>15</v>
      </c>
      <c r="C29" s="15" t="s">
        <v>35</v>
      </c>
      <c r="D29" s="15" t="s">
        <v>13</v>
      </c>
      <c r="E29" s="15">
        <v>939.09</v>
      </c>
      <c r="F29" s="15">
        <v>2</v>
      </c>
      <c r="G29" s="15">
        <v>0.05</v>
      </c>
      <c r="H29" s="16">
        <v>45422</v>
      </c>
      <c r="I29" s="15">
        <v>356.85</v>
      </c>
      <c r="J29" s="14">
        <f t="shared" si="1"/>
        <v>8331.8499999999985</v>
      </c>
      <c r="K29" s="14" t="str">
        <f t="shared" si="0"/>
        <v>May-2024</v>
      </c>
      <c r="L29" s="24">
        <f t="shared" ca="1" si="2"/>
        <v>46282.435960995368</v>
      </c>
    </row>
    <row r="30" spans="1:12" ht="15.75" customHeight="1" x14ac:dyDescent="0.3">
      <c r="A30" s="15" t="s">
        <v>53</v>
      </c>
      <c r="B30" s="15" t="s">
        <v>54</v>
      </c>
      <c r="C30" s="15" t="s">
        <v>19</v>
      </c>
      <c r="D30" s="15" t="s">
        <v>40</v>
      </c>
      <c r="E30" s="15">
        <v>983.34</v>
      </c>
      <c r="F30" s="15">
        <v>19</v>
      </c>
      <c r="G30" s="15">
        <v>0.1</v>
      </c>
      <c r="H30" s="16">
        <v>45426</v>
      </c>
      <c r="I30" s="15">
        <v>398.25</v>
      </c>
      <c r="J30" s="14">
        <f t="shared" si="1"/>
        <v>7522.77</v>
      </c>
      <c r="K30" s="14" t="str">
        <f t="shared" si="0"/>
        <v>May-2024</v>
      </c>
      <c r="L30" s="24">
        <f t="shared" ca="1" si="2"/>
        <v>46282.435960995368</v>
      </c>
    </row>
    <row r="31" spans="1:12" ht="15.75" customHeight="1" x14ac:dyDescent="0.3">
      <c r="A31" s="15" t="s">
        <v>53</v>
      </c>
      <c r="B31" s="15" t="s">
        <v>24</v>
      </c>
      <c r="C31" s="15" t="s">
        <v>21</v>
      </c>
      <c r="D31" s="15" t="s">
        <v>22</v>
      </c>
      <c r="E31" s="15">
        <v>801.21</v>
      </c>
      <c r="F31" s="15">
        <v>3</v>
      </c>
      <c r="G31" s="15">
        <v>0.2</v>
      </c>
      <c r="H31" s="16">
        <v>45426</v>
      </c>
      <c r="I31" s="15">
        <v>160.24</v>
      </c>
      <c r="J31" s="14">
        <f t="shared" si="1"/>
        <v>20774.739999999998</v>
      </c>
      <c r="K31" s="14" t="str">
        <f t="shared" si="0"/>
        <v>May-2024</v>
      </c>
      <c r="L31" s="24">
        <f t="shared" ca="1" si="2"/>
        <v>46282.435960995368</v>
      </c>
    </row>
    <row r="32" spans="1:12" ht="15.75" customHeight="1" x14ac:dyDescent="0.3">
      <c r="A32" s="15" t="s">
        <v>55</v>
      </c>
      <c r="B32" s="15" t="s">
        <v>56</v>
      </c>
      <c r="C32" s="15" t="s">
        <v>25</v>
      </c>
      <c r="D32" s="15" t="s">
        <v>22</v>
      </c>
      <c r="E32" s="15">
        <v>1450.71</v>
      </c>
      <c r="F32" s="15">
        <v>5</v>
      </c>
      <c r="G32" s="15">
        <v>0.1</v>
      </c>
      <c r="H32" s="16">
        <v>45427</v>
      </c>
      <c r="I32" s="15">
        <v>326.41000000000003</v>
      </c>
      <c r="J32" s="14">
        <f t="shared" si="1"/>
        <v>11915.829999999998</v>
      </c>
      <c r="K32" s="14" t="str">
        <f t="shared" si="0"/>
        <v>May-2024</v>
      </c>
      <c r="L32" s="24">
        <f t="shared" ca="1" si="2"/>
        <v>46282.435960995368</v>
      </c>
    </row>
    <row r="33" spans="1:12" ht="15.75" customHeight="1" x14ac:dyDescent="0.3">
      <c r="A33" s="15" t="s">
        <v>50</v>
      </c>
      <c r="B33" s="15" t="s">
        <v>57</v>
      </c>
      <c r="C33" s="15" t="s">
        <v>35</v>
      </c>
      <c r="D33" s="15" t="s">
        <v>13</v>
      </c>
      <c r="E33" s="15">
        <v>1023.21</v>
      </c>
      <c r="F33" s="15">
        <v>18</v>
      </c>
      <c r="G33" s="15">
        <v>0.05</v>
      </c>
      <c r="H33" s="16">
        <v>45428</v>
      </c>
      <c r="I33" s="15">
        <v>388.82</v>
      </c>
      <c r="J33" s="14">
        <f t="shared" si="1"/>
        <v>3819.1400000000003</v>
      </c>
      <c r="K33" s="14" t="str">
        <f t="shared" si="0"/>
        <v>May-2024</v>
      </c>
      <c r="L33" s="24">
        <f t="shared" ca="1" si="2"/>
        <v>46282.435960995368</v>
      </c>
    </row>
    <row r="34" spans="1:12" ht="15.75" customHeight="1" x14ac:dyDescent="0.3">
      <c r="A34" s="15" t="s">
        <v>29</v>
      </c>
      <c r="B34" s="15" t="s">
        <v>48</v>
      </c>
      <c r="C34" s="15" t="s">
        <v>12</v>
      </c>
      <c r="D34" s="15" t="s">
        <v>28</v>
      </c>
      <c r="E34" s="15">
        <v>853.72</v>
      </c>
      <c r="F34" s="15">
        <v>5</v>
      </c>
      <c r="G34" s="15">
        <v>0.15</v>
      </c>
      <c r="H34" s="16">
        <v>45428</v>
      </c>
      <c r="I34" s="15">
        <v>253.98</v>
      </c>
      <c r="J34" s="14">
        <f t="shared" ref="J34:J65" si="3">SUMIF(B:B,B34,E:E)</f>
        <v>7251.18</v>
      </c>
      <c r="K34" s="14" t="str">
        <f t="shared" ref="K34:K65" si="4">TEXT(H34,"MMM-YYYY")</f>
        <v>May-2024</v>
      </c>
      <c r="L34" s="24">
        <f t="shared" ref="L34:L65" ca="1" si="5">NOW()</f>
        <v>46282.435960995368</v>
      </c>
    </row>
    <row r="35" spans="1:12" ht="15.75" customHeight="1" x14ac:dyDescent="0.3">
      <c r="A35" s="15" t="s">
        <v>58</v>
      </c>
      <c r="B35" s="15" t="s">
        <v>44</v>
      </c>
      <c r="C35" s="15" t="s">
        <v>21</v>
      </c>
      <c r="D35" s="15" t="s">
        <v>22</v>
      </c>
      <c r="E35" s="15">
        <v>967.89</v>
      </c>
      <c r="F35" s="15">
        <v>10</v>
      </c>
      <c r="G35" s="15">
        <v>0.1</v>
      </c>
      <c r="H35" s="16">
        <v>45429</v>
      </c>
      <c r="I35" s="15">
        <v>217.78</v>
      </c>
      <c r="J35" s="14">
        <f t="shared" si="3"/>
        <v>7296.1900000000005</v>
      </c>
      <c r="K35" s="14" t="str">
        <f t="shared" si="4"/>
        <v>May-2024</v>
      </c>
      <c r="L35" s="24">
        <f t="shared" ca="1" si="5"/>
        <v>46282.435960995368</v>
      </c>
    </row>
    <row r="36" spans="1:12" ht="15.75" customHeight="1" x14ac:dyDescent="0.3">
      <c r="A36" s="15" t="s">
        <v>59</v>
      </c>
      <c r="B36" s="15" t="s">
        <v>54</v>
      </c>
      <c r="C36" s="15" t="s">
        <v>25</v>
      </c>
      <c r="D36" s="15" t="s">
        <v>40</v>
      </c>
      <c r="E36" s="15">
        <v>1200.9000000000001</v>
      </c>
      <c r="F36" s="15">
        <v>14</v>
      </c>
      <c r="G36" s="15">
        <v>0.05</v>
      </c>
      <c r="H36" s="16">
        <v>45429</v>
      </c>
      <c r="I36" s="15">
        <v>513.38</v>
      </c>
      <c r="J36" s="14">
        <f t="shared" si="3"/>
        <v>7522.77</v>
      </c>
      <c r="K36" s="14" t="str">
        <f t="shared" si="4"/>
        <v>May-2024</v>
      </c>
      <c r="L36" s="24">
        <f t="shared" ca="1" si="5"/>
        <v>46282.435960995368</v>
      </c>
    </row>
    <row r="37" spans="1:12" ht="15.75" customHeight="1" x14ac:dyDescent="0.3">
      <c r="A37" s="15" t="s">
        <v>14</v>
      </c>
      <c r="B37" s="15" t="s">
        <v>27</v>
      </c>
      <c r="C37" s="15" t="s">
        <v>12</v>
      </c>
      <c r="D37" s="15" t="s">
        <v>13</v>
      </c>
      <c r="E37" s="15">
        <v>472.38</v>
      </c>
      <c r="F37" s="15">
        <v>12</v>
      </c>
      <c r="G37" s="15">
        <v>0.2</v>
      </c>
      <c r="H37" s="16">
        <v>45429</v>
      </c>
      <c r="I37" s="15">
        <v>151.16</v>
      </c>
      <c r="J37" s="14">
        <f t="shared" si="3"/>
        <v>7881.9</v>
      </c>
      <c r="K37" s="14" t="str">
        <f t="shared" si="4"/>
        <v>May-2024</v>
      </c>
      <c r="L37" s="24">
        <f t="shared" ca="1" si="5"/>
        <v>46282.435960995368</v>
      </c>
    </row>
    <row r="38" spans="1:12" ht="15.75" customHeight="1" x14ac:dyDescent="0.3">
      <c r="A38" s="15" t="s">
        <v>10</v>
      </c>
      <c r="B38" s="15" t="s">
        <v>56</v>
      </c>
      <c r="C38" s="15" t="s">
        <v>19</v>
      </c>
      <c r="D38" s="15" t="s">
        <v>40</v>
      </c>
      <c r="E38" s="15">
        <v>840.92</v>
      </c>
      <c r="F38" s="15">
        <v>9</v>
      </c>
      <c r="G38" s="15">
        <v>0.05</v>
      </c>
      <c r="H38" s="16">
        <v>45429</v>
      </c>
      <c r="I38" s="15">
        <v>359.49</v>
      </c>
      <c r="J38" s="14">
        <f t="shared" si="3"/>
        <v>11915.829999999998</v>
      </c>
      <c r="K38" s="14" t="str">
        <f t="shared" si="4"/>
        <v>May-2024</v>
      </c>
      <c r="L38" s="24">
        <f t="shared" ca="1" si="5"/>
        <v>46282.435960995368</v>
      </c>
    </row>
    <row r="39" spans="1:12" ht="15.75" customHeight="1" x14ac:dyDescent="0.3">
      <c r="A39" s="15" t="s">
        <v>53</v>
      </c>
      <c r="B39" s="15" t="s">
        <v>49</v>
      </c>
      <c r="C39" s="15" t="s">
        <v>35</v>
      </c>
      <c r="D39" s="15" t="s">
        <v>28</v>
      </c>
      <c r="E39" s="15">
        <v>1410.06</v>
      </c>
      <c r="F39" s="15">
        <v>11</v>
      </c>
      <c r="G39" s="15">
        <v>0.05</v>
      </c>
      <c r="H39" s="16">
        <v>45434</v>
      </c>
      <c r="I39" s="15">
        <v>468.84</v>
      </c>
      <c r="J39" s="14">
        <f t="shared" si="3"/>
        <v>8090.12</v>
      </c>
      <c r="K39" s="14" t="str">
        <f t="shared" si="4"/>
        <v>May-2024</v>
      </c>
      <c r="L39" s="24">
        <f t="shared" ca="1" si="5"/>
        <v>46282.435960995368</v>
      </c>
    </row>
    <row r="40" spans="1:12" ht="15.75" customHeight="1" x14ac:dyDescent="0.3">
      <c r="A40" s="15" t="s">
        <v>45</v>
      </c>
      <c r="B40" s="15" t="s">
        <v>60</v>
      </c>
      <c r="C40" s="15" t="s">
        <v>35</v>
      </c>
      <c r="D40" s="15" t="s">
        <v>28</v>
      </c>
      <c r="E40" s="15">
        <v>773.09</v>
      </c>
      <c r="F40" s="15">
        <v>13</v>
      </c>
      <c r="G40" s="15">
        <v>0.15</v>
      </c>
      <c r="H40" s="16">
        <v>45434</v>
      </c>
      <c r="I40" s="15">
        <v>229.99</v>
      </c>
      <c r="J40" s="14">
        <f t="shared" si="3"/>
        <v>5443.34</v>
      </c>
      <c r="K40" s="14" t="str">
        <f t="shared" si="4"/>
        <v>May-2024</v>
      </c>
      <c r="L40" s="24">
        <f t="shared" ca="1" si="5"/>
        <v>46282.435960995368</v>
      </c>
    </row>
    <row r="41" spans="1:12" ht="15.75" customHeight="1" x14ac:dyDescent="0.3">
      <c r="A41" s="15" t="s">
        <v>61</v>
      </c>
      <c r="B41" s="15" t="s">
        <v>62</v>
      </c>
      <c r="C41" s="15" t="s">
        <v>19</v>
      </c>
      <c r="D41" s="15" t="s">
        <v>13</v>
      </c>
      <c r="E41" s="15">
        <v>580.42999999999995</v>
      </c>
      <c r="F41" s="15">
        <v>19</v>
      </c>
      <c r="G41" s="15">
        <v>0.15</v>
      </c>
      <c r="H41" s="16">
        <v>45435</v>
      </c>
      <c r="I41" s="15">
        <v>197.35</v>
      </c>
      <c r="J41" s="14">
        <f t="shared" si="3"/>
        <v>8543.9699999999993</v>
      </c>
      <c r="K41" s="14" t="str">
        <f t="shared" si="4"/>
        <v>May-2024</v>
      </c>
      <c r="L41" s="24">
        <f t="shared" ca="1" si="5"/>
        <v>46282.435960995368</v>
      </c>
    </row>
    <row r="42" spans="1:12" ht="15.75" customHeight="1" x14ac:dyDescent="0.3">
      <c r="A42" s="15" t="s">
        <v>20</v>
      </c>
      <c r="B42" s="15" t="s">
        <v>43</v>
      </c>
      <c r="C42" s="15" t="s">
        <v>21</v>
      </c>
      <c r="D42" s="15" t="s">
        <v>13</v>
      </c>
      <c r="E42" s="15">
        <v>1151.21</v>
      </c>
      <c r="F42" s="15">
        <v>15</v>
      </c>
      <c r="G42" s="15">
        <v>0.1</v>
      </c>
      <c r="H42" s="16">
        <v>45445</v>
      </c>
      <c r="I42" s="15">
        <v>414.44</v>
      </c>
      <c r="J42" s="14">
        <f t="shared" si="3"/>
        <v>1672.88</v>
      </c>
      <c r="K42" s="14" t="str">
        <f t="shared" si="4"/>
        <v>Jun-2024</v>
      </c>
      <c r="L42" s="24">
        <f t="shared" ca="1" si="5"/>
        <v>46282.435960995368</v>
      </c>
    </row>
    <row r="43" spans="1:12" ht="15.75" customHeight="1" x14ac:dyDescent="0.3">
      <c r="A43" s="15" t="s">
        <v>53</v>
      </c>
      <c r="B43" s="15" t="s">
        <v>24</v>
      </c>
      <c r="C43" s="15" t="s">
        <v>35</v>
      </c>
      <c r="D43" s="15" t="s">
        <v>40</v>
      </c>
      <c r="E43" s="15">
        <v>1025.98</v>
      </c>
      <c r="F43" s="15">
        <v>5</v>
      </c>
      <c r="G43" s="15">
        <v>0.2</v>
      </c>
      <c r="H43" s="16">
        <v>45447</v>
      </c>
      <c r="I43" s="15">
        <v>369.35</v>
      </c>
      <c r="J43" s="14">
        <f t="shared" si="3"/>
        <v>20774.739999999998</v>
      </c>
      <c r="K43" s="14" t="str">
        <f t="shared" si="4"/>
        <v>Jun-2024</v>
      </c>
      <c r="L43" s="24">
        <f t="shared" ca="1" si="5"/>
        <v>46282.435960995368</v>
      </c>
    </row>
    <row r="44" spans="1:12" ht="15.75" customHeight="1" x14ac:dyDescent="0.3">
      <c r="A44" s="15" t="s">
        <v>41</v>
      </c>
      <c r="B44" s="15" t="s">
        <v>57</v>
      </c>
      <c r="C44" s="15" t="s">
        <v>19</v>
      </c>
      <c r="D44" s="15" t="s">
        <v>40</v>
      </c>
      <c r="E44" s="15">
        <v>556.41999999999996</v>
      </c>
      <c r="F44" s="15">
        <v>11</v>
      </c>
      <c r="G44" s="15">
        <v>0.15</v>
      </c>
      <c r="H44" s="16">
        <v>45447</v>
      </c>
      <c r="I44" s="15">
        <v>212.83</v>
      </c>
      <c r="J44" s="14">
        <f t="shared" si="3"/>
        <v>3819.1400000000003</v>
      </c>
      <c r="K44" s="14" t="str">
        <f t="shared" si="4"/>
        <v>Jun-2024</v>
      </c>
      <c r="L44" s="24">
        <f t="shared" ca="1" si="5"/>
        <v>46282.435960995368</v>
      </c>
    </row>
    <row r="45" spans="1:12" ht="15.75" customHeight="1" x14ac:dyDescent="0.3">
      <c r="A45" s="15" t="s">
        <v>58</v>
      </c>
      <c r="B45" s="15" t="s">
        <v>24</v>
      </c>
      <c r="C45" s="15" t="s">
        <v>35</v>
      </c>
      <c r="D45" s="15" t="s">
        <v>13</v>
      </c>
      <c r="E45" s="15">
        <v>840.85</v>
      </c>
      <c r="F45" s="15">
        <v>19</v>
      </c>
      <c r="G45" s="15">
        <v>0.1</v>
      </c>
      <c r="H45" s="16">
        <v>45448</v>
      </c>
      <c r="I45" s="15">
        <v>302.70999999999998</v>
      </c>
      <c r="J45" s="14">
        <f t="shared" si="3"/>
        <v>20774.739999999998</v>
      </c>
      <c r="K45" s="14" t="str">
        <f t="shared" si="4"/>
        <v>Jun-2024</v>
      </c>
      <c r="L45" s="24">
        <f t="shared" ca="1" si="5"/>
        <v>46282.435960995368</v>
      </c>
    </row>
    <row r="46" spans="1:12" ht="15.75" customHeight="1" x14ac:dyDescent="0.3">
      <c r="A46" s="15" t="s">
        <v>31</v>
      </c>
      <c r="B46" s="15" t="s">
        <v>62</v>
      </c>
      <c r="C46" s="15" t="s">
        <v>25</v>
      </c>
      <c r="D46" s="15" t="s">
        <v>28</v>
      </c>
      <c r="E46" s="15">
        <v>1227.25</v>
      </c>
      <c r="F46" s="15">
        <v>12</v>
      </c>
      <c r="G46" s="15">
        <v>0.15</v>
      </c>
      <c r="H46" s="16">
        <v>45448</v>
      </c>
      <c r="I46" s="15">
        <v>365.11</v>
      </c>
      <c r="J46" s="14">
        <f t="shared" si="3"/>
        <v>8543.9699999999993</v>
      </c>
      <c r="K46" s="14" t="str">
        <f t="shared" si="4"/>
        <v>Jun-2024</v>
      </c>
      <c r="L46" s="24">
        <f t="shared" ca="1" si="5"/>
        <v>46282.435960995368</v>
      </c>
    </row>
    <row r="47" spans="1:12" ht="15.75" customHeight="1" x14ac:dyDescent="0.3">
      <c r="A47" s="15" t="s">
        <v>17</v>
      </c>
      <c r="B47" s="15" t="s">
        <v>63</v>
      </c>
      <c r="C47" s="15" t="s">
        <v>35</v>
      </c>
      <c r="D47" s="15" t="s">
        <v>22</v>
      </c>
      <c r="E47" s="15">
        <v>856.7</v>
      </c>
      <c r="F47" s="15">
        <v>2</v>
      </c>
      <c r="G47" s="15">
        <v>0</v>
      </c>
      <c r="H47" s="16">
        <v>45449</v>
      </c>
      <c r="I47" s="15">
        <v>214.18</v>
      </c>
      <c r="J47" s="14">
        <f t="shared" si="3"/>
        <v>856.7</v>
      </c>
      <c r="K47" s="14" t="str">
        <f t="shared" si="4"/>
        <v>Jun-2024</v>
      </c>
      <c r="L47" s="24">
        <f t="shared" ca="1" si="5"/>
        <v>46282.435960995368</v>
      </c>
    </row>
    <row r="48" spans="1:12" ht="15.75" customHeight="1" x14ac:dyDescent="0.3">
      <c r="A48" s="15" t="s">
        <v>55</v>
      </c>
      <c r="B48" s="15" t="s">
        <v>57</v>
      </c>
      <c r="C48" s="15" t="s">
        <v>35</v>
      </c>
      <c r="D48" s="15" t="s">
        <v>40</v>
      </c>
      <c r="E48" s="15">
        <v>1225.42</v>
      </c>
      <c r="F48" s="15">
        <v>8</v>
      </c>
      <c r="G48" s="15">
        <v>0.15</v>
      </c>
      <c r="H48" s="16">
        <v>45449</v>
      </c>
      <c r="I48" s="15">
        <v>468.72</v>
      </c>
      <c r="J48" s="14">
        <f t="shared" si="3"/>
        <v>3819.1400000000003</v>
      </c>
      <c r="K48" s="14" t="str">
        <f t="shared" si="4"/>
        <v>Jun-2024</v>
      </c>
      <c r="L48" s="24">
        <f t="shared" ca="1" si="5"/>
        <v>46282.435960995368</v>
      </c>
    </row>
    <row r="49" spans="1:12" ht="15.75" customHeight="1" x14ac:dyDescent="0.3">
      <c r="A49" s="15" t="s">
        <v>64</v>
      </c>
      <c r="B49" s="15" t="s">
        <v>32</v>
      </c>
      <c r="C49" s="15" t="s">
        <v>25</v>
      </c>
      <c r="D49" s="15" t="s">
        <v>40</v>
      </c>
      <c r="E49" s="15">
        <v>1001.57</v>
      </c>
      <c r="F49" s="15">
        <v>12</v>
      </c>
      <c r="G49" s="15">
        <v>0</v>
      </c>
      <c r="H49" s="16">
        <v>45450</v>
      </c>
      <c r="I49" s="15">
        <v>450.71</v>
      </c>
      <c r="J49" s="14">
        <f t="shared" si="3"/>
        <v>17143.289999999997</v>
      </c>
      <c r="K49" s="14" t="str">
        <f t="shared" si="4"/>
        <v>Jun-2024</v>
      </c>
      <c r="L49" s="24">
        <f t="shared" ca="1" si="5"/>
        <v>46282.435960995368</v>
      </c>
    </row>
    <row r="50" spans="1:12" ht="15.75" customHeight="1" x14ac:dyDescent="0.3">
      <c r="A50" s="15" t="s">
        <v>58</v>
      </c>
      <c r="B50" s="15" t="s">
        <v>27</v>
      </c>
      <c r="C50" s="15" t="s">
        <v>19</v>
      </c>
      <c r="D50" s="15" t="s">
        <v>28</v>
      </c>
      <c r="E50" s="15">
        <v>1186.8499999999999</v>
      </c>
      <c r="F50" s="15">
        <v>19</v>
      </c>
      <c r="G50" s="15">
        <v>0.2</v>
      </c>
      <c r="H50" s="16">
        <v>45451</v>
      </c>
      <c r="I50" s="15">
        <v>332.32</v>
      </c>
      <c r="J50" s="14">
        <f t="shared" si="3"/>
        <v>7881.9</v>
      </c>
      <c r="K50" s="14" t="str">
        <f t="shared" si="4"/>
        <v>Jun-2024</v>
      </c>
      <c r="L50" s="24">
        <f t="shared" ca="1" si="5"/>
        <v>46282.435960995368</v>
      </c>
    </row>
    <row r="51" spans="1:12" ht="15.75" customHeight="1" x14ac:dyDescent="0.3">
      <c r="A51" s="15" t="s">
        <v>45</v>
      </c>
      <c r="B51" s="15" t="s">
        <v>52</v>
      </c>
      <c r="C51" s="15" t="s">
        <v>21</v>
      </c>
      <c r="D51" s="15" t="s">
        <v>22</v>
      </c>
      <c r="E51" s="15">
        <v>775.45</v>
      </c>
      <c r="F51" s="15">
        <v>6</v>
      </c>
      <c r="G51" s="15">
        <v>0.1</v>
      </c>
      <c r="H51" s="16">
        <v>45457</v>
      </c>
      <c r="I51" s="15">
        <v>174.48</v>
      </c>
      <c r="J51" s="14">
        <f t="shared" si="3"/>
        <v>1450.99</v>
      </c>
      <c r="K51" s="14" t="str">
        <f t="shared" si="4"/>
        <v>Jun-2024</v>
      </c>
      <c r="L51" s="24">
        <f t="shared" ca="1" si="5"/>
        <v>46282.435960995368</v>
      </c>
    </row>
    <row r="52" spans="1:12" ht="15.75" customHeight="1" x14ac:dyDescent="0.3">
      <c r="A52" s="15" t="s">
        <v>26</v>
      </c>
      <c r="B52" s="15" t="s">
        <v>34</v>
      </c>
      <c r="C52" s="15" t="s">
        <v>21</v>
      </c>
      <c r="D52" s="15" t="s">
        <v>22</v>
      </c>
      <c r="E52" s="15">
        <v>1021.47</v>
      </c>
      <c r="F52" s="15">
        <v>6</v>
      </c>
      <c r="G52" s="15">
        <v>0.05</v>
      </c>
      <c r="H52" s="16">
        <v>45461</v>
      </c>
      <c r="I52" s="15">
        <v>242.6</v>
      </c>
      <c r="J52" s="14">
        <f t="shared" si="3"/>
        <v>3968.59</v>
      </c>
      <c r="K52" s="14" t="str">
        <f t="shared" si="4"/>
        <v>Jun-2024</v>
      </c>
      <c r="L52" s="24">
        <f t="shared" ca="1" si="5"/>
        <v>46282.435960995368</v>
      </c>
    </row>
    <row r="53" spans="1:12" ht="15.75" customHeight="1" x14ac:dyDescent="0.3">
      <c r="A53" s="15" t="s">
        <v>59</v>
      </c>
      <c r="B53" s="15" t="s">
        <v>24</v>
      </c>
      <c r="C53" s="15" t="s">
        <v>21</v>
      </c>
      <c r="D53" s="15" t="s">
        <v>16</v>
      </c>
      <c r="E53" s="15">
        <v>1226.6199999999999</v>
      </c>
      <c r="F53" s="15">
        <v>7</v>
      </c>
      <c r="G53" s="15">
        <v>0.1</v>
      </c>
      <c r="H53" s="16">
        <v>45463</v>
      </c>
      <c r="I53" s="15">
        <v>551.98</v>
      </c>
      <c r="J53" s="14">
        <f t="shared" si="3"/>
        <v>20774.739999999998</v>
      </c>
      <c r="K53" s="14" t="str">
        <f t="shared" si="4"/>
        <v>Jun-2024</v>
      </c>
      <c r="L53" s="24">
        <f t="shared" ca="1" si="5"/>
        <v>46282.435960995368</v>
      </c>
    </row>
    <row r="54" spans="1:12" ht="15.75" customHeight="1" x14ac:dyDescent="0.3">
      <c r="A54" s="15" t="s">
        <v>23</v>
      </c>
      <c r="B54" s="15" t="s">
        <v>65</v>
      </c>
      <c r="C54" s="15" t="s">
        <v>21</v>
      </c>
      <c r="D54" s="15" t="s">
        <v>28</v>
      </c>
      <c r="E54" s="15">
        <v>1086.93</v>
      </c>
      <c r="F54" s="15">
        <v>2</v>
      </c>
      <c r="G54" s="15">
        <v>0</v>
      </c>
      <c r="H54" s="16">
        <v>45464</v>
      </c>
      <c r="I54" s="15">
        <v>380.43</v>
      </c>
      <c r="J54" s="14">
        <f t="shared" si="3"/>
        <v>5771.59</v>
      </c>
      <c r="K54" s="14" t="str">
        <f t="shared" si="4"/>
        <v>Jun-2024</v>
      </c>
      <c r="L54" s="24">
        <f t="shared" ca="1" si="5"/>
        <v>46282.435960995368</v>
      </c>
    </row>
    <row r="55" spans="1:12" ht="15.75" customHeight="1" x14ac:dyDescent="0.3">
      <c r="A55" s="15" t="s">
        <v>66</v>
      </c>
      <c r="B55" s="15" t="s">
        <v>49</v>
      </c>
      <c r="C55" s="15" t="s">
        <v>12</v>
      </c>
      <c r="D55" s="15" t="s">
        <v>13</v>
      </c>
      <c r="E55" s="15">
        <v>942.9</v>
      </c>
      <c r="F55" s="15">
        <v>18</v>
      </c>
      <c r="G55" s="15">
        <v>0.1</v>
      </c>
      <c r="H55" s="16">
        <v>45466</v>
      </c>
      <c r="I55" s="15">
        <v>339.44</v>
      </c>
      <c r="J55" s="14">
        <f t="shared" si="3"/>
        <v>8090.12</v>
      </c>
      <c r="K55" s="14" t="str">
        <f t="shared" si="4"/>
        <v>Jun-2024</v>
      </c>
      <c r="L55" s="24">
        <f t="shared" ca="1" si="5"/>
        <v>46282.435960995368</v>
      </c>
    </row>
    <row r="56" spans="1:12" ht="15.75" customHeight="1" x14ac:dyDescent="0.3">
      <c r="A56" s="15" t="s">
        <v>33</v>
      </c>
      <c r="B56" s="15" t="s">
        <v>39</v>
      </c>
      <c r="C56" s="15" t="s">
        <v>25</v>
      </c>
      <c r="D56" s="15" t="s">
        <v>22</v>
      </c>
      <c r="E56" s="15">
        <v>818.8</v>
      </c>
      <c r="F56" s="15">
        <v>15</v>
      </c>
      <c r="G56" s="15">
        <v>0.15</v>
      </c>
      <c r="H56" s="16">
        <v>45468</v>
      </c>
      <c r="I56" s="15">
        <v>173.99</v>
      </c>
      <c r="J56" s="14">
        <f t="shared" si="3"/>
        <v>11398.32</v>
      </c>
      <c r="K56" s="14" t="str">
        <f t="shared" si="4"/>
        <v>Jun-2024</v>
      </c>
      <c r="L56" s="24">
        <f t="shared" ca="1" si="5"/>
        <v>46282.435960995368</v>
      </c>
    </row>
    <row r="57" spans="1:12" ht="15.75" customHeight="1" x14ac:dyDescent="0.3">
      <c r="A57" s="15" t="s">
        <v>20</v>
      </c>
      <c r="B57" s="15" t="s">
        <v>15</v>
      </c>
      <c r="C57" s="15" t="s">
        <v>21</v>
      </c>
      <c r="D57" s="15" t="s">
        <v>28</v>
      </c>
      <c r="E57" s="15">
        <v>919.04</v>
      </c>
      <c r="F57" s="15">
        <v>10</v>
      </c>
      <c r="G57" s="15">
        <v>0.2</v>
      </c>
      <c r="H57" s="16">
        <v>45468</v>
      </c>
      <c r="I57" s="15">
        <v>257.33</v>
      </c>
      <c r="J57" s="14">
        <f t="shared" si="3"/>
        <v>8331.8499999999985</v>
      </c>
      <c r="K57" s="14" t="str">
        <f t="shared" si="4"/>
        <v>Jun-2024</v>
      </c>
      <c r="L57" s="24">
        <f t="shared" ca="1" si="5"/>
        <v>46282.435960995368</v>
      </c>
    </row>
    <row r="58" spans="1:12" ht="15.75" customHeight="1" x14ac:dyDescent="0.3">
      <c r="A58" s="15" t="s">
        <v>23</v>
      </c>
      <c r="B58" s="15" t="s">
        <v>67</v>
      </c>
      <c r="C58" s="15" t="s">
        <v>35</v>
      </c>
      <c r="D58" s="15" t="s">
        <v>13</v>
      </c>
      <c r="E58" s="15">
        <v>973.26</v>
      </c>
      <c r="F58" s="15">
        <v>11</v>
      </c>
      <c r="G58" s="15">
        <v>0</v>
      </c>
      <c r="H58" s="16">
        <v>45470</v>
      </c>
      <c r="I58" s="15">
        <v>389.3</v>
      </c>
      <c r="J58" s="14">
        <f t="shared" si="3"/>
        <v>5014.96</v>
      </c>
      <c r="K58" s="14" t="str">
        <f t="shared" si="4"/>
        <v>Jun-2024</v>
      </c>
      <c r="L58" s="24">
        <f t="shared" ca="1" si="5"/>
        <v>46282.435960995368</v>
      </c>
    </row>
    <row r="59" spans="1:12" ht="15.75" customHeight="1" x14ac:dyDescent="0.3">
      <c r="A59" s="15" t="s">
        <v>42</v>
      </c>
      <c r="B59" s="15" t="s">
        <v>65</v>
      </c>
      <c r="C59" s="15" t="s">
        <v>25</v>
      </c>
      <c r="D59" s="15" t="s">
        <v>22</v>
      </c>
      <c r="E59" s="15">
        <v>741.61</v>
      </c>
      <c r="F59" s="15">
        <v>1</v>
      </c>
      <c r="G59" s="15">
        <v>0.2</v>
      </c>
      <c r="H59" s="16">
        <v>45471</v>
      </c>
      <c r="I59" s="15">
        <v>148.32</v>
      </c>
      <c r="J59" s="14">
        <f t="shared" si="3"/>
        <v>5771.59</v>
      </c>
      <c r="K59" s="14" t="str">
        <f t="shared" si="4"/>
        <v>Jun-2024</v>
      </c>
      <c r="L59" s="24">
        <f t="shared" ca="1" si="5"/>
        <v>46282.435960995368</v>
      </c>
    </row>
    <row r="60" spans="1:12" ht="15.75" customHeight="1" x14ac:dyDescent="0.3">
      <c r="A60" s="15" t="s">
        <v>68</v>
      </c>
      <c r="B60" s="15" t="s">
        <v>39</v>
      </c>
      <c r="C60" s="15" t="s">
        <v>25</v>
      </c>
      <c r="D60" s="15" t="s">
        <v>13</v>
      </c>
      <c r="E60" s="15">
        <v>1248.82</v>
      </c>
      <c r="F60" s="15">
        <v>2</v>
      </c>
      <c r="G60" s="15">
        <v>0.1</v>
      </c>
      <c r="H60" s="16">
        <v>45473</v>
      </c>
      <c r="I60" s="15">
        <v>449.58</v>
      </c>
      <c r="J60" s="14">
        <f t="shared" si="3"/>
        <v>11398.32</v>
      </c>
      <c r="K60" s="14" t="str">
        <f t="shared" si="4"/>
        <v>Jun-2024</v>
      </c>
      <c r="L60" s="24">
        <f t="shared" ca="1" si="5"/>
        <v>46282.435960995368</v>
      </c>
    </row>
    <row r="61" spans="1:12" ht="15.75" customHeight="1" x14ac:dyDescent="0.3">
      <c r="A61" s="15" t="s">
        <v>14</v>
      </c>
      <c r="B61" s="15" t="s">
        <v>60</v>
      </c>
      <c r="C61" s="15" t="s">
        <v>12</v>
      </c>
      <c r="D61" s="15" t="s">
        <v>16</v>
      </c>
      <c r="E61" s="15">
        <v>1360.36</v>
      </c>
      <c r="F61" s="15">
        <v>17</v>
      </c>
      <c r="G61" s="15">
        <v>0</v>
      </c>
      <c r="H61" s="16">
        <v>45473</v>
      </c>
      <c r="I61" s="15">
        <v>680.18</v>
      </c>
      <c r="J61" s="14">
        <f t="shared" si="3"/>
        <v>5443.34</v>
      </c>
      <c r="K61" s="14" t="str">
        <f t="shared" si="4"/>
        <v>Jun-2024</v>
      </c>
      <c r="L61" s="24">
        <f t="shared" ca="1" si="5"/>
        <v>46282.435960995368</v>
      </c>
    </row>
    <row r="62" spans="1:12" ht="15.75" customHeight="1" x14ac:dyDescent="0.3">
      <c r="A62" s="15" t="s">
        <v>58</v>
      </c>
      <c r="B62" s="15" t="s">
        <v>32</v>
      </c>
      <c r="C62" s="15" t="s">
        <v>19</v>
      </c>
      <c r="D62" s="15" t="s">
        <v>13</v>
      </c>
      <c r="E62" s="15">
        <v>1383.3</v>
      </c>
      <c r="F62" s="15">
        <v>8</v>
      </c>
      <c r="G62" s="15">
        <v>0.1</v>
      </c>
      <c r="H62" s="16">
        <v>45478</v>
      </c>
      <c r="I62" s="15">
        <v>497.99</v>
      </c>
      <c r="J62" s="14">
        <f t="shared" si="3"/>
        <v>17143.289999999997</v>
      </c>
      <c r="K62" s="14" t="str">
        <f t="shared" si="4"/>
        <v>Jul-2024</v>
      </c>
      <c r="L62" s="24">
        <f t="shared" ca="1" si="5"/>
        <v>46282.435960995368</v>
      </c>
    </row>
    <row r="63" spans="1:12" ht="15.75" customHeight="1" x14ac:dyDescent="0.3">
      <c r="A63" s="15" t="s">
        <v>36</v>
      </c>
      <c r="B63" s="15" t="s">
        <v>56</v>
      </c>
      <c r="C63" s="15" t="s">
        <v>35</v>
      </c>
      <c r="D63" s="15" t="s">
        <v>40</v>
      </c>
      <c r="E63" s="15">
        <v>488.99</v>
      </c>
      <c r="F63" s="15">
        <v>9</v>
      </c>
      <c r="G63" s="15">
        <v>0</v>
      </c>
      <c r="H63" s="16">
        <v>45479</v>
      </c>
      <c r="I63" s="15">
        <v>220.05</v>
      </c>
      <c r="J63" s="14">
        <f t="shared" si="3"/>
        <v>11915.829999999998</v>
      </c>
      <c r="K63" s="14" t="str">
        <f t="shared" si="4"/>
        <v>Jul-2024</v>
      </c>
      <c r="L63" s="24">
        <f t="shared" ca="1" si="5"/>
        <v>46282.435960995368</v>
      </c>
    </row>
    <row r="64" spans="1:12" ht="15.75" customHeight="1" x14ac:dyDescent="0.3">
      <c r="A64" s="15" t="s">
        <v>31</v>
      </c>
      <c r="B64" s="15" t="s">
        <v>32</v>
      </c>
      <c r="C64" s="15" t="s">
        <v>19</v>
      </c>
      <c r="D64" s="15" t="s">
        <v>28</v>
      </c>
      <c r="E64" s="15">
        <v>933.71</v>
      </c>
      <c r="F64" s="15">
        <v>17</v>
      </c>
      <c r="G64" s="15">
        <v>0.1</v>
      </c>
      <c r="H64" s="16">
        <v>45481</v>
      </c>
      <c r="I64" s="15">
        <v>294.12</v>
      </c>
      <c r="J64" s="14">
        <f t="shared" si="3"/>
        <v>17143.289999999997</v>
      </c>
      <c r="K64" s="14" t="str">
        <f t="shared" si="4"/>
        <v>Jul-2024</v>
      </c>
      <c r="L64" s="24">
        <f t="shared" ca="1" si="5"/>
        <v>46282.435960995368</v>
      </c>
    </row>
    <row r="65" spans="1:12" ht="15.75" customHeight="1" x14ac:dyDescent="0.3">
      <c r="A65" s="15" t="s">
        <v>68</v>
      </c>
      <c r="B65" s="15" t="s">
        <v>11</v>
      </c>
      <c r="C65" s="15" t="s">
        <v>12</v>
      </c>
      <c r="D65" s="15" t="s">
        <v>22</v>
      </c>
      <c r="E65" s="15">
        <v>1005.53</v>
      </c>
      <c r="F65" s="15">
        <v>17</v>
      </c>
      <c r="G65" s="15">
        <v>0.2</v>
      </c>
      <c r="H65" s="16">
        <v>45481</v>
      </c>
      <c r="I65" s="15">
        <v>201.11</v>
      </c>
      <c r="J65" s="14">
        <f t="shared" si="3"/>
        <v>6255.7</v>
      </c>
      <c r="K65" s="14" t="str">
        <f t="shared" si="4"/>
        <v>Jul-2024</v>
      </c>
      <c r="L65" s="24">
        <f t="shared" ca="1" si="5"/>
        <v>46282.435960995368</v>
      </c>
    </row>
    <row r="66" spans="1:12" ht="15.75" customHeight="1" x14ac:dyDescent="0.3">
      <c r="A66" s="15" t="s">
        <v>42</v>
      </c>
      <c r="B66" s="15" t="s">
        <v>62</v>
      </c>
      <c r="C66" s="15" t="s">
        <v>21</v>
      </c>
      <c r="D66" s="15" t="s">
        <v>22</v>
      </c>
      <c r="E66" s="15">
        <v>1100.0999999999999</v>
      </c>
      <c r="F66" s="15">
        <v>5</v>
      </c>
      <c r="G66" s="15">
        <v>0.05</v>
      </c>
      <c r="H66" s="16">
        <v>45482</v>
      </c>
      <c r="I66" s="15">
        <v>261.27</v>
      </c>
      <c r="J66" s="14">
        <f t="shared" ref="J66:J97" si="6">SUMIF(B:B,B66,E:E)</f>
        <v>8543.9699999999993</v>
      </c>
      <c r="K66" s="14" t="str">
        <f t="shared" ref="K66:K97" si="7">TEXT(H66,"MMM-YYYY")</f>
        <v>Jul-2024</v>
      </c>
      <c r="L66" s="24">
        <f t="shared" ref="L66:L97" ca="1" si="8">NOW()</f>
        <v>46282.435960995368</v>
      </c>
    </row>
    <row r="67" spans="1:12" ht="15.75" customHeight="1" x14ac:dyDescent="0.3">
      <c r="A67" s="15" t="s">
        <v>68</v>
      </c>
      <c r="B67" s="15" t="s">
        <v>24</v>
      </c>
      <c r="C67" s="15" t="s">
        <v>25</v>
      </c>
      <c r="D67" s="15" t="s">
        <v>28</v>
      </c>
      <c r="E67" s="15">
        <v>1034.7</v>
      </c>
      <c r="F67" s="15">
        <v>15</v>
      </c>
      <c r="G67" s="15">
        <v>0.15</v>
      </c>
      <c r="H67" s="16">
        <v>45487</v>
      </c>
      <c r="I67" s="15">
        <v>307.82</v>
      </c>
      <c r="J67" s="14">
        <f t="shared" si="6"/>
        <v>20774.739999999998</v>
      </c>
      <c r="K67" s="14" t="str">
        <f t="shared" si="7"/>
        <v>Jul-2024</v>
      </c>
      <c r="L67" s="24">
        <f t="shared" ca="1" si="8"/>
        <v>46282.435960995368</v>
      </c>
    </row>
    <row r="68" spans="1:12" ht="15.75" customHeight="1" x14ac:dyDescent="0.3">
      <c r="A68" s="15" t="s">
        <v>66</v>
      </c>
      <c r="B68" s="15" t="s">
        <v>32</v>
      </c>
      <c r="C68" s="15" t="s">
        <v>21</v>
      </c>
      <c r="D68" s="15" t="s">
        <v>13</v>
      </c>
      <c r="E68" s="15">
        <v>876.44</v>
      </c>
      <c r="F68" s="15">
        <v>12</v>
      </c>
      <c r="G68" s="15">
        <v>0.05</v>
      </c>
      <c r="H68" s="16">
        <v>45488</v>
      </c>
      <c r="I68" s="15">
        <v>333.05</v>
      </c>
      <c r="J68" s="14">
        <f t="shared" si="6"/>
        <v>17143.289999999997</v>
      </c>
      <c r="K68" s="14" t="str">
        <f t="shared" si="7"/>
        <v>Jul-2024</v>
      </c>
      <c r="L68" s="24">
        <f t="shared" ca="1" si="8"/>
        <v>46282.435960995368</v>
      </c>
    </row>
    <row r="69" spans="1:12" ht="15.75" customHeight="1" x14ac:dyDescent="0.3">
      <c r="A69" s="15" t="s">
        <v>69</v>
      </c>
      <c r="B69" s="15" t="s">
        <v>56</v>
      </c>
      <c r="C69" s="15" t="s">
        <v>12</v>
      </c>
      <c r="D69" s="15" t="s">
        <v>28</v>
      </c>
      <c r="E69" s="15">
        <v>1371.34</v>
      </c>
      <c r="F69" s="15">
        <v>5</v>
      </c>
      <c r="G69" s="15">
        <v>0.05</v>
      </c>
      <c r="H69" s="16">
        <v>45488</v>
      </c>
      <c r="I69" s="15">
        <v>455.97</v>
      </c>
      <c r="J69" s="14">
        <f t="shared" si="6"/>
        <v>11915.829999999998</v>
      </c>
      <c r="K69" s="14" t="str">
        <f t="shared" si="7"/>
        <v>Jul-2024</v>
      </c>
      <c r="L69" s="24">
        <f t="shared" ca="1" si="8"/>
        <v>46282.435960995368</v>
      </c>
    </row>
    <row r="70" spans="1:12" ht="15.75" customHeight="1" x14ac:dyDescent="0.3">
      <c r="A70" s="15" t="s">
        <v>58</v>
      </c>
      <c r="B70" s="15" t="s">
        <v>48</v>
      </c>
      <c r="C70" s="15" t="s">
        <v>25</v>
      </c>
      <c r="D70" s="15" t="s">
        <v>22</v>
      </c>
      <c r="E70" s="15">
        <v>1020.26</v>
      </c>
      <c r="F70" s="15">
        <v>11</v>
      </c>
      <c r="G70" s="15">
        <v>0.05</v>
      </c>
      <c r="H70" s="16">
        <v>45494</v>
      </c>
      <c r="I70" s="15">
        <v>242.31</v>
      </c>
      <c r="J70" s="14">
        <f t="shared" si="6"/>
        <v>7251.18</v>
      </c>
      <c r="K70" s="14" t="str">
        <f t="shared" si="7"/>
        <v>Jul-2024</v>
      </c>
      <c r="L70" s="24">
        <f t="shared" ca="1" si="8"/>
        <v>46282.435960995368</v>
      </c>
    </row>
    <row r="71" spans="1:12" ht="15.75" customHeight="1" x14ac:dyDescent="0.3">
      <c r="A71" s="15" t="s">
        <v>45</v>
      </c>
      <c r="B71" s="15" t="s">
        <v>11</v>
      </c>
      <c r="C71" s="15" t="s">
        <v>35</v>
      </c>
      <c r="D71" s="15" t="s">
        <v>40</v>
      </c>
      <c r="E71" s="15">
        <v>804.81</v>
      </c>
      <c r="F71" s="15">
        <v>1</v>
      </c>
      <c r="G71" s="15">
        <v>0.05</v>
      </c>
      <c r="H71" s="16">
        <v>45502</v>
      </c>
      <c r="I71" s="15">
        <v>344.06</v>
      </c>
      <c r="J71" s="14">
        <f t="shared" si="6"/>
        <v>6255.7</v>
      </c>
      <c r="K71" s="14" t="str">
        <f t="shared" si="7"/>
        <v>Jul-2024</v>
      </c>
      <c r="L71" s="24">
        <f t="shared" ca="1" si="8"/>
        <v>46282.435960995368</v>
      </c>
    </row>
    <row r="72" spans="1:12" ht="15.75" customHeight="1" x14ac:dyDescent="0.3">
      <c r="A72" s="15" t="s">
        <v>23</v>
      </c>
      <c r="B72" s="15" t="s">
        <v>56</v>
      </c>
      <c r="C72" s="15" t="s">
        <v>35</v>
      </c>
      <c r="D72" s="15" t="s">
        <v>22</v>
      </c>
      <c r="E72" s="15">
        <v>608.66</v>
      </c>
      <c r="F72" s="15">
        <v>1</v>
      </c>
      <c r="G72" s="15">
        <v>0.05</v>
      </c>
      <c r="H72" s="16">
        <v>45503</v>
      </c>
      <c r="I72" s="15">
        <v>144.56</v>
      </c>
      <c r="J72" s="14">
        <f t="shared" si="6"/>
        <v>11915.829999999998</v>
      </c>
      <c r="K72" s="14" t="str">
        <f t="shared" si="7"/>
        <v>Jul-2024</v>
      </c>
      <c r="L72" s="24">
        <f t="shared" ca="1" si="8"/>
        <v>46282.435960995368</v>
      </c>
    </row>
    <row r="73" spans="1:12" ht="15.75" customHeight="1" x14ac:dyDescent="0.3">
      <c r="A73" s="15" t="s">
        <v>69</v>
      </c>
      <c r="B73" s="15" t="s">
        <v>70</v>
      </c>
      <c r="C73" s="15" t="s">
        <v>21</v>
      </c>
      <c r="D73" s="15" t="s">
        <v>40</v>
      </c>
      <c r="E73" s="15">
        <v>981.2</v>
      </c>
      <c r="F73" s="15">
        <v>19</v>
      </c>
      <c r="G73" s="15">
        <v>0</v>
      </c>
      <c r="H73" s="16">
        <v>45504</v>
      </c>
      <c r="I73" s="15">
        <v>441.54</v>
      </c>
      <c r="J73" s="14">
        <f t="shared" si="6"/>
        <v>2304.9</v>
      </c>
      <c r="K73" s="14" t="str">
        <f t="shared" si="7"/>
        <v>Jul-2024</v>
      </c>
      <c r="L73" s="24">
        <f t="shared" ca="1" si="8"/>
        <v>46282.435960995368</v>
      </c>
    </row>
    <row r="74" spans="1:12" ht="15.75" customHeight="1" x14ac:dyDescent="0.3">
      <c r="A74" s="15" t="s">
        <v>71</v>
      </c>
      <c r="B74" s="15" t="s">
        <v>56</v>
      </c>
      <c r="C74" s="15" t="s">
        <v>19</v>
      </c>
      <c r="D74" s="15" t="s">
        <v>22</v>
      </c>
      <c r="E74" s="15">
        <v>539.77</v>
      </c>
      <c r="F74" s="15">
        <v>10</v>
      </c>
      <c r="G74" s="15">
        <v>0.15</v>
      </c>
      <c r="H74" s="16">
        <v>45509</v>
      </c>
      <c r="I74" s="15">
        <v>114.7</v>
      </c>
      <c r="J74" s="14">
        <f t="shared" si="6"/>
        <v>11915.829999999998</v>
      </c>
      <c r="K74" s="14" t="str">
        <f t="shared" si="7"/>
        <v>Aug-2024</v>
      </c>
      <c r="L74" s="24">
        <f t="shared" ca="1" si="8"/>
        <v>46282.435960995368</v>
      </c>
    </row>
    <row r="75" spans="1:12" ht="15.75" customHeight="1" x14ac:dyDescent="0.3">
      <c r="A75" s="15" t="s">
        <v>14</v>
      </c>
      <c r="B75" s="15" t="s">
        <v>72</v>
      </c>
      <c r="C75" s="15" t="s">
        <v>21</v>
      </c>
      <c r="D75" s="15" t="s">
        <v>13</v>
      </c>
      <c r="E75" s="15">
        <v>804.45</v>
      </c>
      <c r="F75" s="15">
        <v>5</v>
      </c>
      <c r="G75" s="15">
        <v>0.2</v>
      </c>
      <c r="H75" s="16">
        <v>45509</v>
      </c>
      <c r="I75" s="15">
        <v>257.42</v>
      </c>
      <c r="J75" s="14">
        <f t="shared" si="6"/>
        <v>5465.71</v>
      </c>
      <c r="K75" s="14" t="str">
        <f t="shared" si="7"/>
        <v>Aug-2024</v>
      </c>
      <c r="L75" s="24">
        <f t="shared" ca="1" si="8"/>
        <v>46282.435960995368</v>
      </c>
    </row>
    <row r="76" spans="1:12" ht="15.75" customHeight="1" x14ac:dyDescent="0.3">
      <c r="A76" s="15" t="s">
        <v>71</v>
      </c>
      <c r="B76" s="15" t="s">
        <v>39</v>
      </c>
      <c r="C76" s="15" t="s">
        <v>12</v>
      </c>
      <c r="D76" s="15" t="s">
        <v>22</v>
      </c>
      <c r="E76" s="15">
        <v>1526.6</v>
      </c>
      <c r="F76" s="15">
        <v>13</v>
      </c>
      <c r="G76" s="15">
        <v>0.2</v>
      </c>
      <c r="H76" s="16">
        <v>45512</v>
      </c>
      <c r="I76" s="15">
        <v>305.32</v>
      </c>
      <c r="J76" s="14">
        <f t="shared" si="6"/>
        <v>11398.32</v>
      </c>
      <c r="K76" s="14" t="str">
        <f t="shared" si="7"/>
        <v>Aug-2024</v>
      </c>
      <c r="L76" s="24">
        <f t="shared" ca="1" si="8"/>
        <v>46282.435960995368</v>
      </c>
    </row>
    <row r="77" spans="1:12" ht="15.75" customHeight="1" x14ac:dyDescent="0.3">
      <c r="A77" s="15" t="s">
        <v>14</v>
      </c>
      <c r="B77" s="15" t="s">
        <v>30</v>
      </c>
      <c r="C77" s="15" t="s">
        <v>12</v>
      </c>
      <c r="D77" s="15" t="s">
        <v>22</v>
      </c>
      <c r="E77" s="15">
        <v>1215.26</v>
      </c>
      <c r="F77" s="15">
        <v>5</v>
      </c>
      <c r="G77" s="15">
        <v>0.15</v>
      </c>
      <c r="H77" s="16">
        <v>45513</v>
      </c>
      <c r="I77" s="15">
        <v>258.24</v>
      </c>
      <c r="J77" s="14">
        <f t="shared" si="6"/>
        <v>9970.1999999999989</v>
      </c>
      <c r="K77" s="14" t="str">
        <f t="shared" si="7"/>
        <v>Aug-2024</v>
      </c>
      <c r="L77" s="24">
        <f t="shared" ca="1" si="8"/>
        <v>46282.435960995368</v>
      </c>
    </row>
    <row r="78" spans="1:12" ht="15.75" customHeight="1" x14ac:dyDescent="0.3">
      <c r="A78" s="15" t="s">
        <v>20</v>
      </c>
      <c r="B78" s="15" t="s">
        <v>54</v>
      </c>
      <c r="C78" s="15" t="s">
        <v>35</v>
      </c>
      <c r="D78" s="15" t="s">
        <v>28</v>
      </c>
      <c r="E78" s="15">
        <v>1261.3399999999999</v>
      </c>
      <c r="F78" s="15">
        <v>3</v>
      </c>
      <c r="G78" s="15">
        <v>0</v>
      </c>
      <c r="H78" s="16">
        <v>45519</v>
      </c>
      <c r="I78" s="15">
        <v>441.47</v>
      </c>
      <c r="J78" s="14">
        <f t="shared" si="6"/>
        <v>7522.77</v>
      </c>
      <c r="K78" s="14" t="str">
        <f t="shared" si="7"/>
        <v>Aug-2024</v>
      </c>
      <c r="L78" s="24">
        <f t="shared" ca="1" si="8"/>
        <v>46282.435960995368</v>
      </c>
    </row>
    <row r="79" spans="1:12" ht="15.75" customHeight="1" x14ac:dyDescent="0.3">
      <c r="A79" s="15" t="s">
        <v>73</v>
      </c>
      <c r="B79" s="15" t="s">
        <v>46</v>
      </c>
      <c r="C79" s="15" t="s">
        <v>25</v>
      </c>
      <c r="D79" s="15" t="s">
        <v>28</v>
      </c>
      <c r="E79" s="15">
        <v>518.07000000000005</v>
      </c>
      <c r="F79" s="15">
        <v>7</v>
      </c>
      <c r="G79" s="15">
        <v>0.05</v>
      </c>
      <c r="H79" s="16">
        <v>45522</v>
      </c>
      <c r="I79" s="15">
        <v>172.26</v>
      </c>
      <c r="J79" s="14">
        <f t="shared" si="6"/>
        <v>8635.9500000000007</v>
      </c>
      <c r="K79" s="14" t="str">
        <f t="shared" si="7"/>
        <v>Aug-2024</v>
      </c>
      <c r="L79" s="24">
        <f t="shared" ca="1" si="8"/>
        <v>46282.435960995368</v>
      </c>
    </row>
    <row r="80" spans="1:12" ht="15.75" customHeight="1" x14ac:dyDescent="0.3">
      <c r="A80" s="15" t="s">
        <v>31</v>
      </c>
      <c r="B80" s="15" t="s">
        <v>30</v>
      </c>
      <c r="C80" s="15" t="s">
        <v>12</v>
      </c>
      <c r="D80" s="15" t="s">
        <v>40</v>
      </c>
      <c r="E80" s="15">
        <v>1111.3399999999999</v>
      </c>
      <c r="F80" s="15">
        <v>1</v>
      </c>
      <c r="G80" s="15">
        <v>0</v>
      </c>
      <c r="H80" s="16">
        <v>45523</v>
      </c>
      <c r="I80" s="15">
        <v>500.1</v>
      </c>
      <c r="J80" s="14">
        <f t="shared" si="6"/>
        <v>9970.1999999999989</v>
      </c>
      <c r="K80" s="14" t="str">
        <f t="shared" si="7"/>
        <v>Aug-2024</v>
      </c>
      <c r="L80" s="24">
        <f t="shared" ca="1" si="8"/>
        <v>46282.435960995368</v>
      </c>
    </row>
    <row r="81" spans="1:12" ht="15.75" customHeight="1" x14ac:dyDescent="0.3">
      <c r="A81" s="15" t="s">
        <v>23</v>
      </c>
      <c r="B81" s="15" t="s">
        <v>32</v>
      </c>
      <c r="C81" s="15" t="s">
        <v>19</v>
      </c>
      <c r="D81" s="15" t="s">
        <v>16</v>
      </c>
      <c r="E81" s="15">
        <v>1291.47</v>
      </c>
      <c r="F81" s="15">
        <v>18</v>
      </c>
      <c r="G81" s="15">
        <v>0.1</v>
      </c>
      <c r="H81" s="16">
        <v>45526</v>
      </c>
      <c r="I81" s="15">
        <v>581.16</v>
      </c>
      <c r="J81" s="14">
        <f t="shared" si="6"/>
        <v>17143.289999999997</v>
      </c>
      <c r="K81" s="14" t="str">
        <f t="shared" si="7"/>
        <v>Aug-2024</v>
      </c>
      <c r="L81" s="24">
        <f t="shared" ca="1" si="8"/>
        <v>46282.435960995368</v>
      </c>
    </row>
    <row r="82" spans="1:12" ht="15.75" customHeight="1" x14ac:dyDescent="0.3">
      <c r="A82" s="15" t="s">
        <v>26</v>
      </c>
      <c r="B82" s="15" t="s">
        <v>56</v>
      </c>
      <c r="C82" s="15" t="s">
        <v>25</v>
      </c>
      <c r="D82" s="15" t="s">
        <v>13</v>
      </c>
      <c r="E82" s="15">
        <v>679.71</v>
      </c>
      <c r="F82" s="15">
        <v>19</v>
      </c>
      <c r="G82" s="15">
        <v>0</v>
      </c>
      <c r="H82" s="16">
        <v>45534</v>
      </c>
      <c r="I82" s="15">
        <v>271.88</v>
      </c>
      <c r="J82" s="14">
        <f t="shared" si="6"/>
        <v>11915.829999999998</v>
      </c>
      <c r="K82" s="14" t="str">
        <f t="shared" si="7"/>
        <v>Aug-2024</v>
      </c>
      <c r="L82" s="24">
        <f t="shared" ca="1" si="8"/>
        <v>46282.435960995368</v>
      </c>
    </row>
    <row r="83" spans="1:12" ht="15.75" customHeight="1" x14ac:dyDescent="0.3">
      <c r="A83" s="15" t="s">
        <v>69</v>
      </c>
      <c r="B83" s="15" t="s">
        <v>34</v>
      </c>
      <c r="C83" s="15" t="s">
        <v>19</v>
      </c>
      <c r="D83" s="15" t="s">
        <v>28</v>
      </c>
      <c r="E83" s="15">
        <v>1143.69</v>
      </c>
      <c r="F83" s="15">
        <v>17</v>
      </c>
      <c r="G83" s="15">
        <v>0</v>
      </c>
      <c r="H83" s="16">
        <v>45534</v>
      </c>
      <c r="I83" s="15">
        <v>400.29</v>
      </c>
      <c r="J83" s="14">
        <f t="shared" si="6"/>
        <v>3968.59</v>
      </c>
      <c r="K83" s="14" t="str">
        <f t="shared" si="7"/>
        <v>Aug-2024</v>
      </c>
      <c r="L83" s="24">
        <f t="shared" ca="1" si="8"/>
        <v>46282.435960995368</v>
      </c>
    </row>
    <row r="84" spans="1:12" ht="15.75" customHeight="1" x14ac:dyDescent="0.3">
      <c r="A84" s="15" t="s">
        <v>53</v>
      </c>
      <c r="B84" s="15" t="s">
        <v>51</v>
      </c>
      <c r="C84" s="15" t="s">
        <v>35</v>
      </c>
      <c r="D84" s="15" t="s">
        <v>22</v>
      </c>
      <c r="E84" s="15">
        <v>790.08</v>
      </c>
      <c r="F84" s="15">
        <v>7</v>
      </c>
      <c r="G84" s="15">
        <v>0.1</v>
      </c>
      <c r="H84" s="16">
        <v>45536</v>
      </c>
      <c r="I84" s="15">
        <v>177.77</v>
      </c>
      <c r="J84" s="14">
        <f t="shared" si="6"/>
        <v>5801.29</v>
      </c>
      <c r="K84" s="14" t="str">
        <f t="shared" si="7"/>
        <v>Sep-2024</v>
      </c>
      <c r="L84" s="24">
        <f t="shared" ca="1" si="8"/>
        <v>46282.435960995368</v>
      </c>
    </row>
    <row r="85" spans="1:12" ht="15.75" customHeight="1" x14ac:dyDescent="0.3">
      <c r="A85" s="15" t="s">
        <v>20</v>
      </c>
      <c r="B85" s="15" t="s">
        <v>49</v>
      </c>
      <c r="C85" s="15" t="s">
        <v>35</v>
      </c>
      <c r="D85" s="15" t="s">
        <v>13</v>
      </c>
      <c r="E85" s="15">
        <v>1070.68</v>
      </c>
      <c r="F85" s="15">
        <v>7</v>
      </c>
      <c r="G85" s="15">
        <v>0.05</v>
      </c>
      <c r="H85" s="16">
        <v>45536</v>
      </c>
      <c r="I85" s="15">
        <v>406.86</v>
      </c>
      <c r="J85" s="14">
        <f t="shared" si="6"/>
        <v>8090.12</v>
      </c>
      <c r="K85" s="14" t="str">
        <f t="shared" si="7"/>
        <v>Sep-2024</v>
      </c>
      <c r="L85" s="24">
        <f t="shared" ca="1" si="8"/>
        <v>46282.435960995368</v>
      </c>
    </row>
    <row r="86" spans="1:12" ht="15.75" customHeight="1" x14ac:dyDescent="0.3">
      <c r="A86" s="15" t="s">
        <v>59</v>
      </c>
      <c r="B86" s="15" t="s">
        <v>37</v>
      </c>
      <c r="C86" s="15" t="s">
        <v>12</v>
      </c>
      <c r="D86" s="15" t="s">
        <v>16</v>
      </c>
      <c r="E86" s="15">
        <v>1168.8900000000001</v>
      </c>
      <c r="F86" s="15">
        <v>4</v>
      </c>
      <c r="G86" s="15">
        <v>0.1</v>
      </c>
      <c r="H86" s="16">
        <v>45544</v>
      </c>
      <c r="I86" s="15">
        <v>526</v>
      </c>
      <c r="J86" s="14">
        <f t="shared" si="6"/>
        <v>7020.3799999999992</v>
      </c>
      <c r="K86" s="14" t="str">
        <f t="shared" si="7"/>
        <v>Sep-2024</v>
      </c>
      <c r="L86" s="24">
        <f t="shared" ca="1" si="8"/>
        <v>46282.435960995368</v>
      </c>
    </row>
    <row r="87" spans="1:12" ht="15.75" customHeight="1" x14ac:dyDescent="0.3">
      <c r="A87" s="15" t="s">
        <v>68</v>
      </c>
      <c r="B87" s="15" t="s">
        <v>11</v>
      </c>
      <c r="C87" s="15" t="s">
        <v>21</v>
      </c>
      <c r="D87" s="15" t="s">
        <v>22</v>
      </c>
      <c r="E87" s="15">
        <v>1335.87</v>
      </c>
      <c r="F87" s="15">
        <v>17</v>
      </c>
      <c r="G87" s="15">
        <v>0</v>
      </c>
      <c r="H87" s="16">
        <v>45544</v>
      </c>
      <c r="I87" s="15">
        <v>333.97</v>
      </c>
      <c r="J87" s="14">
        <f t="shared" si="6"/>
        <v>6255.7</v>
      </c>
      <c r="K87" s="14" t="str">
        <f t="shared" si="7"/>
        <v>Sep-2024</v>
      </c>
      <c r="L87" s="24">
        <f t="shared" ca="1" si="8"/>
        <v>46282.435960995368</v>
      </c>
    </row>
    <row r="88" spans="1:12" ht="15.75" customHeight="1" x14ac:dyDescent="0.3">
      <c r="A88" s="15" t="s">
        <v>41</v>
      </c>
      <c r="B88" s="15" t="s">
        <v>56</v>
      </c>
      <c r="C88" s="15" t="s">
        <v>19</v>
      </c>
      <c r="D88" s="15" t="s">
        <v>28</v>
      </c>
      <c r="E88" s="15">
        <v>873.7</v>
      </c>
      <c r="F88" s="15">
        <v>9</v>
      </c>
      <c r="G88" s="15">
        <v>0</v>
      </c>
      <c r="H88" s="16">
        <v>45546</v>
      </c>
      <c r="I88" s="15">
        <v>305.8</v>
      </c>
      <c r="J88" s="14">
        <f t="shared" si="6"/>
        <v>11915.829999999998</v>
      </c>
      <c r="K88" s="14" t="str">
        <f t="shared" si="7"/>
        <v>Sep-2024</v>
      </c>
      <c r="L88" s="24">
        <f t="shared" ca="1" si="8"/>
        <v>46282.435960995368</v>
      </c>
    </row>
    <row r="89" spans="1:12" ht="15.75" customHeight="1" x14ac:dyDescent="0.3">
      <c r="A89" s="15" t="s">
        <v>73</v>
      </c>
      <c r="B89" s="15" t="s">
        <v>65</v>
      </c>
      <c r="C89" s="15" t="s">
        <v>12</v>
      </c>
      <c r="D89" s="15" t="s">
        <v>40</v>
      </c>
      <c r="E89" s="15">
        <v>1443.98</v>
      </c>
      <c r="F89" s="15">
        <v>19</v>
      </c>
      <c r="G89" s="15">
        <v>0</v>
      </c>
      <c r="H89" s="16">
        <v>45547</v>
      </c>
      <c r="I89" s="15">
        <v>649.79</v>
      </c>
      <c r="J89" s="14">
        <f t="shared" si="6"/>
        <v>5771.59</v>
      </c>
      <c r="K89" s="14" t="str">
        <f t="shared" si="7"/>
        <v>Sep-2024</v>
      </c>
      <c r="L89" s="24">
        <f t="shared" ca="1" si="8"/>
        <v>46282.435960995368</v>
      </c>
    </row>
    <row r="90" spans="1:12" ht="15.75" customHeight="1" x14ac:dyDescent="0.3">
      <c r="A90" s="15" t="s">
        <v>41</v>
      </c>
      <c r="B90" s="15" t="s">
        <v>24</v>
      </c>
      <c r="C90" s="15" t="s">
        <v>19</v>
      </c>
      <c r="D90" s="15" t="s">
        <v>40</v>
      </c>
      <c r="E90" s="15">
        <v>1154.33</v>
      </c>
      <c r="F90" s="15">
        <v>11</v>
      </c>
      <c r="G90" s="15">
        <v>0.15</v>
      </c>
      <c r="H90" s="16">
        <v>45549</v>
      </c>
      <c r="I90" s="15">
        <v>441.53</v>
      </c>
      <c r="J90" s="14">
        <f t="shared" si="6"/>
        <v>20774.739999999998</v>
      </c>
      <c r="K90" s="14" t="str">
        <f t="shared" si="7"/>
        <v>Sep-2024</v>
      </c>
      <c r="L90" s="24">
        <f t="shared" ca="1" si="8"/>
        <v>46282.435960995368</v>
      </c>
    </row>
    <row r="91" spans="1:12" ht="15.75" customHeight="1" x14ac:dyDescent="0.3">
      <c r="A91" s="15" t="s">
        <v>50</v>
      </c>
      <c r="B91" s="15" t="s">
        <v>51</v>
      </c>
      <c r="C91" s="15" t="s">
        <v>21</v>
      </c>
      <c r="D91" s="15" t="s">
        <v>13</v>
      </c>
      <c r="E91" s="15">
        <v>1264.49</v>
      </c>
      <c r="F91" s="15">
        <v>16</v>
      </c>
      <c r="G91" s="15">
        <v>0.05</v>
      </c>
      <c r="H91" s="16">
        <v>45549</v>
      </c>
      <c r="I91" s="15">
        <v>480.51</v>
      </c>
      <c r="J91" s="14">
        <f t="shared" si="6"/>
        <v>5801.29</v>
      </c>
      <c r="K91" s="14" t="str">
        <f t="shared" si="7"/>
        <v>Sep-2024</v>
      </c>
      <c r="L91" s="24">
        <f t="shared" ca="1" si="8"/>
        <v>46282.435960995368</v>
      </c>
    </row>
    <row r="92" spans="1:12" ht="15.75" customHeight="1" x14ac:dyDescent="0.3">
      <c r="A92" s="15" t="s">
        <v>26</v>
      </c>
      <c r="B92" s="15" t="s">
        <v>67</v>
      </c>
      <c r="C92" s="15" t="s">
        <v>12</v>
      </c>
      <c r="D92" s="15" t="s">
        <v>28</v>
      </c>
      <c r="E92" s="15">
        <v>1101.55</v>
      </c>
      <c r="F92" s="15">
        <v>4</v>
      </c>
      <c r="G92" s="15">
        <v>0.1</v>
      </c>
      <c r="H92" s="16">
        <v>45551</v>
      </c>
      <c r="I92" s="15">
        <v>346.99</v>
      </c>
      <c r="J92" s="14">
        <f t="shared" si="6"/>
        <v>5014.96</v>
      </c>
      <c r="K92" s="14" t="str">
        <f t="shared" si="7"/>
        <v>Sep-2024</v>
      </c>
      <c r="L92" s="24">
        <f t="shared" ca="1" si="8"/>
        <v>46282.435960995368</v>
      </c>
    </row>
    <row r="93" spans="1:12" ht="15.75" customHeight="1" x14ac:dyDescent="0.3">
      <c r="A93" s="15" t="s">
        <v>74</v>
      </c>
      <c r="B93" s="15" t="s">
        <v>15</v>
      </c>
      <c r="C93" s="15" t="s">
        <v>21</v>
      </c>
      <c r="D93" s="15" t="s">
        <v>28</v>
      </c>
      <c r="E93" s="15">
        <v>727.73</v>
      </c>
      <c r="F93" s="15">
        <v>1</v>
      </c>
      <c r="G93" s="15">
        <v>0.1</v>
      </c>
      <c r="H93" s="16">
        <v>45552</v>
      </c>
      <c r="I93" s="15">
        <v>229.23</v>
      </c>
      <c r="J93" s="14">
        <f t="shared" si="6"/>
        <v>8331.8499999999985</v>
      </c>
      <c r="K93" s="14" t="str">
        <f t="shared" si="7"/>
        <v>Sep-2024</v>
      </c>
      <c r="L93" s="24">
        <f t="shared" ca="1" si="8"/>
        <v>46282.435960995368</v>
      </c>
    </row>
    <row r="94" spans="1:12" ht="15.75" customHeight="1" x14ac:dyDescent="0.3">
      <c r="A94" s="15" t="s">
        <v>75</v>
      </c>
      <c r="B94" s="15" t="s">
        <v>39</v>
      </c>
      <c r="C94" s="15" t="s">
        <v>19</v>
      </c>
      <c r="D94" s="15" t="s">
        <v>40</v>
      </c>
      <c r="E94" s="15">
        <v>875.41</v>
      </c>
      <c r="F94" s="15">
        <v>13</v>
      </c>
      <c r="G94" s="15">
        <v>0.15</v>
      </c>
      <c r="H94" s="16">
        <v>45552</v>
      </c>
      <c r="I94" s="15">
        <v>334.84</v>
      </c>
      <c r="J94" s="14">
        <f t="shared" si="6"/>
        <v>11398.32</v>
      </c>
      <c r="K94" s="14" t="str">
        <f t="shared" si="7"/>
        <v>Sep-2024</v>
      </c>
      <c r="L94" s="24">
        <f t="shared" ca="1" si="8"/>
        <v>46282.435960995368</v>
      </c>
    </row>
    <row r="95" spans="1:12" ht="15.75" customHeight="1" x14ac:dyDescent="0.3">
      <c r="A95" s="15" t="s">
        <v>68</v>
      </c>
      <c r="B95" s="15" t="s">
        <v>24</v>
      </c>
      <c r="C95" s="15" t="s">
        <v>12</v>
      </c>
      <c r="D95" s="15" t="s">
        <v>22</v>
      </c>
      <c r="E95" s="15">
        <v>1158.94</v>
      </c>
      <c r="F95" s="15">
        <v>19</v>
      </c>
      <c r="G95" s="15">
        <v>0.2</v>
      </c>
      <c r="H95" s="16">
        <v>45553</v>
      </c>
      <c r="I95" s="15">
        <v>231.79</v>
      </c>
      <c r="J95" s="14">
        <f t="shared" si="6"/>
        <v>20774.739999999998</v>
      </c>
      <c r="K95" s="14" t="str">
        <f t="shared" si="7"/>
        <v>Sep-2024</v>
      </c>
      <c r="L95" s="24">
        <f t="shared" ca="1" si="8"/>
        <v>46282.435960995368</v>
      </c>
    </row>
    <row r="96" spans="1:12" ht="15.75" customHeight="1" x14ac:dyDescent="0.3">
      <c r="A96" s="15" t="s">
        <v>76</v>
      </c>
      <c r="B96" s="15" t="s">
        <v>48</v>
      </c>
      <c r="C96" s="15" t="s">
        <v>21</v>
      </c>
      <c r="D96" s="15" t="s">
        <v>13</v>
      </c>
      <c r="E96" s="15">
        <v>966.3</v>
      </c>
      <c r="F96" s="15">
        <v>2</v>
      </c>
      <c r="G96" s="15">
        <v>0.15</v>
      </c>
      <c r="H96" s="16">
        <v>45557</v>
      </c>
      <c r="I96" s="15">
        <v>328.54</v>
      </c>
      <c r="J96" s="14">
        <f t="shared" si="6"/>
        <v>7251.18</v>
      </c>
      <c r="K96" s="14" t="str">
        <f t="shared" si="7"/>
        <v>Sep-2024</v>
      </c>
      <c r="L96" s="24">
        <f t="shared" ca="1" si="8"/>
        <v>46282.435960995368</v>
      </c>
    </row>
    <row r="97" spans="1:12" ht="15.75" customHeight="1" x14ac:dyDescent="0.3">
      <c r="A97" s="15" t="s">
        <v>69</v>
      </c>
      <c r="B97" s="15" t="s">
        <v>18</v>
      </c>
      <c r="C97" s="15" t="s">
        <v>21</v>
      </c>
      <c r="D97" s="15" t="s">
        <v>13</v>
      </c>
      <c r="E97" s="15">
        <v>917.48</v>
      </c>
      <c r="F97" s="15">
        <v>6</v>
      </c>
      <c r="G97" s="15">
        <v>0</v>
      </c>
      <c r="H97" s="16">
        <v>45558</v>
      </c>
      <c r="I97" s="15">
        <v>366.99</v>
      </c>
      <c r="J97" s="14">
        <f t="shared" si="6"/>
        <v>5615.2800000000007</v>
      </c>
      <c r="K97" s="14" t="str">
        <f t="shared" si="7"/>
        <v>Sep-2024</v>
      </c>
      <c r="L97" s="24">
        <f t="shared" ca="1" si="8"/>
        <v>46282.435960995368</v>
      </c>
    </row>
    <row r="98" spans="1:12" ht="15.75" customHeight="1" x14ac:dyDescent="0.3">
      <c r="A98" s="15" t="s">
        <v>42</v>
      </c>
      <c r="B98" s="15" t="s">
        <v>62</v>
      </c>
      <c r="C98" s="15" t="s">
        <v>12</v>
      </c>
      <c r="D98" s="15" t="s">
        <v>28</v>
      </c>
      <c r="E98" s="15">
        <v>1172.97</v>
      </c>
      <c r="F98" s="15">
        <v>7</v>
      </c>
      <c r="G98" s="15">
        <v>0.15</v>
      </c>
      <c r="H98" s="16">
        <v>45559</v>
      </c>
      <c r="I98" s="15">
        <v>348.96</v>
      </c>
      <c r="J98" s="14">
        <f t="shared" ref="J98:J129" si="9">SUMIF(B:B,B98,E:E)</f>
        <v>8543.9699999999993</v>
      </c>
      <c r="K98" s="14" t="str">
        <f t="shared" ref="K98:K129" si="10">TEXT(H98,"MMM-YYYY")</f>
        <v>Sep-2024</v>
      </c>
      <c r="L98" s="24">
        <f t="shared" ref="L98:L129" ca="1" si="11">NOW()</f>
        <v>46282.435960995368</v>
      </c>
    </row>
    <row r="99" spans="1:12" ht="15.75" customHeight="1" x14ac:dyDescent="0.3">
      <c r="A99" s="15" t="s">
        <v>58</v>
      </c>
      <c r="B99" s="15" t="s">
        <v>24</v>
      </c>
      <c r="C99" s="15" t="s">
        <v>25</v>
      </c>
      <c r="D99" s="15" t="s">
        <v>16</v>
      </c>
      <c r="E99" s="15">
        <v>1205.82</v>
      </c>
      <c r="F99" s="15">
        <v>11</v>
      </c>
      <c r="G99" s="15">
        <v>0.1</v>
      </c>
      <c r="H99" s="16">
        <v>45559</v>
      </c>
      <c r="I99" s="15">
        <v>542.62</v>
      </c>
      <c r="J99" s="14">
        <f t="shared" si="9"/>
        <v>20774.739999999998</v>
      </c>
      <c r="K99" s="14" t="str">
        <f t="shared" si="10"/>
        <v>Sep-2024</v>
      </c>
      <c r="L99" s="24">
        <f t="shared" ca="1" si="11"/>
        <v>46282.435960995368</v>
      </c>
    </row>
    <row r="100" spans="1:12" ht="15.75" customHeight="1" x14ac:dyDescent="0.3">
      <c r="A100" s="15" t="s">
        <v>17</v>
      </c>
      <c r="B100" s="15" t="s">
        <v>65</v>
      </c>
      <c r="C100" s="15" t="s">
        <v>12</v>
      </c>
      <c r="D100" s="15" t="s">
        <v>40</v>
      </c>
      <c r="E100" s="15">
        <v>826.93</v>
      </c>
      <c r="F100" s="15">
        <v>10</v>
      </c>
      <c r="G100" s="15">
        <v>0.2</v>
      </c>
      <c r="H100" s="16">
        <v>45564</v>
      </c>
      <c r="I100" s="15">
        <v>297.69</v>
      </c>
      <c r="J100" s="14">
        <f t="shared" si="9"/>
        <v>5771.59</v>
      </c>
      <c r="K100" s="14" t="str">
        <f t="shared" si="10"/>
        <v>Sep-2024</v>
      </c>
      <c r="L100" s="24">
        <f t="shared" ca="1" si="11"/>
        <v>46282.435960995368</v>
      </c>
    </row>
    <row r="101" spans="1:12" ht="15.75" customHeight="1" x14ac:dyDescent="0.3">
      <c r="A101" s="15" t="s">
        <v>68</v>
      </c>
      <c r="B101" s="15" t="s">
        <v>24</v>
      </c>
      <c r="C101" s="15" t="s">
        <v>35</v>
      </c>
      <c r="D101" s="15" t="s">
        <v>16</v>
      </c>
      <c r="E101" s="15">
        <v>902.19</v>
      </c>
      <c r="F101" s="15">
        <v>12</v>
      </c>
      <c r="G101" s="15">
        <v>0</v>
      </c>
      <c r="H101" s="16">
        <v>45564</v>
      </c>
      <c r="I101" s="15">
        <v>451.1</v>
      </c>
      <c r="J101" s="14">
        <f t="shared" si="9"/>
        <v>20774.739999999998</v>
      </c>
      <c r="K101" s="14" t="str">
        <f t="shared" si="10"/>
        <v>Sep-2024</v>
      </c>
      <c r="L101" s="24">
        <f t="shared" ca="1" si="11"/>
        <v>46282.435960995368</v>
      </c>
    </row>
    <row r="102" spans="1:12" ht="15.75" customHeight="1" x14ac:dyDescent="0.3">
      <c r="A102" s="15" t="s">
        <v>75</v>
      </c>
      <c r="B102" s="15" t="s">
        <v>39</v>
      </c>
      <c r="C102" s="15" t="s">
        <v>25</v>
      </c>
      <c r="D102" s="15" t="s">
        <v>13</v>
      </c>
      <c r="E102" s="15">
        <v>585.97</v>
      </c>
      <c r="F102" s="15">
        <v>17</v>
      </c>
      <c r="G102" s="15">
        <v>0.1</v>
      </c>
      <c r="H102" s="16">
        <v>45565</v>
      </c>
      <c r="I102" s="15">
        <v>210.95</v>
      </c>
      <c r="J102" s="14">
        <f t="shared" si="9"/>
        <v>11398.32</v>
      </c>
      <c r="K102" s="14" t="str">
        <f t="shared" si="10"/>
        <v>Sep-2024</v>
      </c>
      <c r="L102" s="24">
        <f t="shared" ca="1" si="11"/>
        <v>46282.435960995368</v>
      </c>
    </row>
    <row r="103" spans="1:12" ht="15.75" customHeight="1" x14ac:dyDescent="0.3">
      <c r="A103" s="15" t="s">
        <v>61</v>
      </c>
      <c r="B103" s="15" t="s">
        <v>27</v>
      </c>
      <c r="C103" s="15" t="s">
        <v>25</v>
      </c>
      <c r="D103" s="15" t="s">
        <v>16</v>
      </c>
      <c r="E103" s="15">
        <v>990.19</v>
      </c>
      <c r="F103" s="15">
        <v>8</v>
      </c>
      <c r="G103" s="15">
        <v>0.1</v>
      </c>
      <c r="H103" s="16">
        <v>45565</v>
      </c>
      <c r="I103" s="15">
        <v>445.59</v>
      </c>
      <c r="J103" s="14">
        <f t="shared" si="9"/>
        <v>7881.9</v>
      </c>
      <c r="K103" s="14" t="str">
        <f t="shared" si="10"/>
        <v>Sep-2024</v>
      </c>
      <c r="L103" s="24">
        <f t="shared" ca="1" si="11"/>
        <v>46282.435960995368</v>
      </c>
    </row>
    <row r="104" spans="1:12" ht="15.75" customHeight="1" x14ac:dyDescent="0.3">
      <c r="A104" s="15" t="s">
        <v>45</v>
      </c>
      <c r="B104" s="15" t="s">
        <v>57</v>
      </c>
      <c r="C104" s="15" t="s">
        <v>35</v>
      </c>
      <c r="D104" s="15" t="s">
        <v>22</v>
      </c>
      <c r="E104" s="15">
        <v>1014.09</v>
      </c>
      <c r="F104" s="15">
        <v>13</v>
      </c>
      <c r="G104" s="15">
        <v>0.2</v>
      </c>
      <c r="H104" s="16">
        <v>45567</v>
      </c>
      <c r="I104" s="15">
        <v>202.82</v>
      </c>
      <c r="J104" s="14">
        <f t="shared" si="9"/>
        <v>3819.1400000000003</v>
      </c>
      <c r="K104" s="14" t="str">
        <f t="shared" si="10"/>
        <v>Oct-2024</v>
      </c>
      <c r="L104" s="24">
        <f t="shared" ca="1" si="11"/>
        <v>46282.435960995368</v>
      </c>
    </row>
    <row r="105" spans="1:12" ht="15.75" customHeight="1" x14ac:dyDescent="0.3">
      <c r="A105" s="15" t="s">
        <v>14</v>
      </c>
      <c r="B105" s="15" t="s">
        <v>49</v>
      </c>
      <c r="C105" s="15" t="s">
        <v>25</v>
      </c>
      <c r="D105" s="15" t="s">
        <v>22</v>
      </c>
      <c r="E105" s="15">
        <v>925.29</v>
      </c>
      <c r="F105" s="15">
        <v>17</v>
      </c>
      <c r="G105" s="15">
        <v>0</v>
      </c>
      <c r="H105" s="16">
        <v>45570</v>
      </c>
      <c r="I105" s="15">
        <v>231.32</v>
      </c>
      <c r="J105" s="14">
        <f t="shared" si="9"/>
        <v>8090.12</v>
      </c>
      <c r="K105" s="14" t="str">
        <f t="shared" si="10"/>
        <v>Oct-2024</v>
      </c>
      <c r="L105" s="24">
        <f t="shared" ca="1" si="11"/>
        <v>46282.435960995368</v>
      </c>
    </row>
    <row r="106" spans="1:12" ht="15.75" customHeight="1" x14ac:dyDescent="0.3">
      <c r="A106" s="15" t="s">
        <v>55</v>
      </c>
      <c r="B106" s="15" t="s">
        <v>48</v>
      </c>
      <c r="C106" s="15" t="s">
        <v>19</v>
      </c>
      <c r="D106" s="15" t="s">
        <v>28</v>
      </c>
      <c r="E106" s="15">
        <v>1286.54</v>
      </c>
      <c r="F106" s="15">
        <v>8</v>
      </c>
      <c r="G106" s="15">
        <v>0</v>
      </c>
      <c r="H106" s="16">
        <v>45575</v>
      </c>
      <c r="I106" s="15">
        <v>450.29</v>
      </c>
      <c r="J106" s="14">
        <f t="shared" si="9"/>
        <v>7251.18</v>
      </c>
      <c r="K106" s="14" t="str">
        <f t="shared" si="10"/>
        <v>Oct-2024</v>
      </c>
      <c r="L106" s="24">
        <f t="shared" ca="1" si="11"/>
        <v>46282.435960995368</v>
      </c>
    </row>
    <row r="107" spans="1:12" ht="15.75" customHeight="1" x14ac:dyDescent="0.3">
      <c r="A107" s="15" t="s">
        <v>38</v>
      </c>
      <c r="B107" s="15" t="s">
        <v>65</v>
      </c>
      <c r="C107" s="15" t="s">
        <v>21</v>
      </c>
      <c r="D107" s="15" t="s">
        <v>13</v>
      </c>
      <c r="E107" s="15">
        <v>961.62</v>
      </c>
      <c r="F107" s="15">
        <v>8</v>
      </c>
      <c r="G107" s="15">
        <v>0.2</v>
      </c>
      <c r="H107" s="16">
        <v>45577</v>
      </c>
      <c r="I107" s="15">
        <v>307.72000000000003</v>
      </c>
      <c r="J107" s="14">
        <f t="shared" si="9"/>
        <v>5771.59</v>
      </c>
      <c r="K107" s="14" t="str">
        <f t="shared" si="10"/>
        <v>Oct-2024</v>
      </c>
      <c r="L107" s="24">
        <f t="shared" ca="1" si="11"/>
        <v>46282.435960995368</v>
      </c>
    </row>
    <row r="108" spans="1:12" ht="15.75" customHeight="1" x14ac:dyDescent="0.3">
      <c r="A108" s="15" t="s">
        <v>45</v>
      </c>
      <c r="B108" s="15" t="s">
        <v>24</v>
      </c>
      <c r="C108" s="15" t="s">
        <v>19</v>
      </c>
      <c r="D108" s="15" t="s">
        <v>13</v>
      </c>
      <c r="E108" s="15">
        <v>1081.1400000000001</v>
      </c>
      <c r="F108" s="15">
        <v>19</v>
      </c>
      <c r="G108" s="15">
        <v>0.15</v>
      </c>
      <c r="H108" s="16">
        <v>45577</v>
      </c>
      <c r="I108" s="15">
        <v>367.59</v>
      </c>
      <c r="J108" s="14">
        <f t="shared" si="9"/>
        <v>20774.739999999998</v>
      </c>
      <c r="K108" s="14" t="str">
        <f t="shared" si="10"/>
        <v>Oct-2024</v>
      </c>
      <c r="L108" s="24">
        <f t="shared" ca="1" si="11"/>
        <v>46282.435960995368</v>
      </c>
    </row>
    <row r="109" spans="1:12" ht="15.75" customHeight="1" x14ac:dyDescent="0.3">
      <c r="A109" s="15" t="s">
        <v>59</v>
      </c>
      <c r="B109" s="15" t="s">
        <v>24</v>
      </c>
      <c r="C109" s="15" t="s">
        <v>12</v>
      </c>
      <c r="D109" s="15" t="s">
        <v>16</v>
      </c>
      <c r="E109" s="15">
        <v>1923.66</v>
      </c>
      <c r="F109" s="15">
        <v>9</v>
      </c>
      <c r="G109" s="15">
        <v>0.2</v>
      </c>
      <c r="H109" s="16">
        <v>45580</v>
      </c>
      <c r="I109" s="15">
        <v>769.46</v>
      </c>
      <c r="J109" s="14">
        <f t="shared" si="9"/>
        <v>20774.739999999998</v>
      </c>
      <c r="K109" s="14" t="str">
        <f t="shared" si="10"/>
        <v>Oct-2024</v>
      </c>
      <c r="L109" s="24">
        <f t="shared" ca="1" si="11"/>
        <v>46282.435960995368</v>
      </c>
    </row>
    <row r="110" spans="1:12" ht="15.75" customHeight="1" x14ac:dyDescent="0.3">
      <c r="A110" s="15" t="s">
        <v>55</v>
      </c>
      <c r="B110" s="15" t="s">
        <v>67</v>
      </c>
      <c r="C110" s="15" t="s">
        <v>35</v>
      </c>
      <c r="D110" s="15" t="s">
        <v>16</v>
      </c>
      <c r="E110" s="15">
        <v>728.71</v>
      </c>
      <c r="F110" s="15">
        <v>14</v>
      </c>
      <c r="G110" s="15">
        <v>0.1</v>
      </c>
      <c r="H110" s="16">
        <v>45581</v>
      </c>
      <c r="I110" s="15">
        <v>327.92</v>
      </c>
      <c r="J110" s="14">
        <f t="shared" si="9"/>
        <v>5014.96</v>
      </c>
      <c r="K110" s="14" t="str">
        <f t="shared" si="10"/>
        <v>Oct-2024</v>
      </c>
      <c r="L110" s="24">
        <f t="shared" ca="1" si="11"/>
        <v>46282.435960995368</v>
      </c>
    </row>
    <row r="111" spans="1:12" ht="15.75" customHeight="1" x14ac:dyDescent="0.3">
      <c r="A111" s="15" t="s">
        <v>10</v>
      </c>
      <c r="B111" s="15" t="s">
        <v>34</v>
      </c>
      <c r="C111" s="15" t="s">
        <v>35</v>
      </c>
      <c r="D111" s="15" t="s">
        <v>16</v>
      </c>
      <c r="E111" s="15">
        <v>1301.8900000000001</v>
      </c>
      <c r="F111" s="15">
        <v>7</v>
      </c>
      <c r="G111" s="15">
        <v>0.15</v>
      </c>
      <c r="H111" s="16">
        <v>45581</v>
      </c>
      <c r="I111" s="15">
        <v>553.29999999999995</v>
      </c>
      <c r="J111" s="14">
        <f t="shared" si="9"/>
        <v>3968.59</v>
      </c>
      <c r="K111" s="14" t="str">
        <f t="shared" si="10"/>
        <v>Oct-2024</v>
      </c>
      <c r="L111" s="24">
        <f t="shared" ca="1" si="11"/>
        <v>46282.435960995368</v>
      </c>
    </row>
    <row r="112" spans="1:12" ht="15.75" customHeight="1" x14ac:dyDescent="0.3">
      <c r="A112" s="15" t="s">
        <v>71</v>
      </c>
      <c r="B112" s="15" t="s">
        <v>67</v>
      </c>
      <c r="C112" s="15" t="s">
        <v>19</v>
      </c>
      <c r="D112" s="15" t="s">
        <v>13</v>
      </c>
      <c r="E112" s="15">
        <v>980.18</v>
      </c>
      <c r="F112" s="15">
        <v>16</v>
      </c>
      <c r="G112" s="15">
        <v>0.1</v>
      </c>
      <c r="H112" s="16">
        <v>45582</v>
      </c>
      <c r="I112" s="15">
        <v>352.86</v>
      </c>
      <c r="J112" s="14">
        <f t="shared" si="9"/>
        <v>5014.96</v>
      </c>
      <c r="K112" s="14" t="str">
        <f t="shared" si="10"/>
        <v>Oct-2024</v>
      </c>
      <c r="L112" s="24">
        <f t="shared" ca="1" si="11"/>
        <v>46282.435960995368</v>
      </c>
    </row>
    <row r="113" spans="1:12" ht="15.75" customHeight="1" x14ac:dyDescent="0.3">
      <c r="A113" s="15" t="s">
        <v>75</v>
      </c>
      <c r="B113" s="15" t="s">
        <v>24</v>
      </c>
      <c r="C113" s="15" t="s">
        <v>12</v>
      </c>
      <c r="D113" s="15" t="s">
        <v>16</v>
      </c>
      <c r="E113" s="15">
        <v>697.57</v>
      </c>
      <c r="F113" s="15">
        <v>17</v>
      </c>
      <c r="G113" s="15">
        <v>0.1</v>
      </c>
      <c r="H113" s="16">
        <v>45584</v>
      </c>
      <c r="I113" s="15">
        <v>313.91000000000003</v>
      </c>
      <c r="J113" s="14">
        <f t="shared" si="9"/>
        <v>20774.739999999998</v>
      </c>
      <c r="K113" s="14" t="str">
        <f t="shared" si="10"/>
        <v>Oct-2024</v>
      </c>
      <c r="L113" s="24">
        <f t="shared" ca="1" si="11"/>
        <v>46282.435960995368</v>
      </c>
    </row>
    <row r="114" spans="1:12" ht="15.75" customHeight="1" x14ac:dyDescent="0.3">
      <c r="A114" s="15" t="s">
        <v>47</v>
      </c>
      <c r="B114" s="15" t="s">
        <v>72</v>
      </c>
      <c r="C114" s="15" t="s">
        <v>12</v>
      </c>
      <c r="D114" s="15" t="s">
        <v>28</v>
      </c>
      <c r="E114" s="15">
        <v>1193.6099999999999</v>
      </c>
      <c r="F114" s="15">
        <v>1</v>
      </c>
      <c r="G114" s="15">
        <v>0.15</v>
      </c>
      <c r="H114" s="16">
        <v>45584</v>
      </c>
      <c r="I114" s="15">
        <v>355.1</v>
      </c>
      <c r="J114" s="14">
        <f t="shared" si="9"/>
        <v>5465.71</v>
      </c>
      <c r="K114" s="14" t="str">
        <f t="shared" si="10"/>
        <v>Oct-2024</v>
      </c>
      <c r="L114" s="24">
        <f t="shared" ca="1" si="11"/>
        <v>46282.435960995368</v>
      </c>
    </row>
    <row r="115" spans="1:12" ht="15.75" customHeight="1" x14ac:dyDescent="0.3">
      <c r="A115" s="15" t="s">
        <v>33</v>
      </c>
      <c r="B115" s="15" t="s">
        <v>39</v>
      </c>
      <c r="C115" s="15" t="s">
        <v>21</v>
      </c>
      <c r="D115" s="15" t="s">
        <v>22</v>
      </c>
      <c r="E115" s="15">
        <v>771.02</v>
      </c>
      <c r="F115" s="15">
        <v>1</v>
      </c>
      <c r="G115" s="15">
        <v>0</v>
      </c>
      <c r="H115" s="16">
        <v>45585</v>
      </c>
      <c r="I115" s="15">
        <v>192.76</v>
      </c>
      <c r="J115" s="14">
        <f t="shared" si="9"/>
        <v>11398.32</v>
      </c>
      <c r="K115" s="14" t="str">
        <f t="shared" si="10"/>
        <v>Oct-2024</v>
      </c>
      <c r="L115" s="24">
        <f t="shared" ca="1" si="11"/>
        <v>46282.435960995368</v>
      </c>
    </row>
    <row r="116" spans="1:12" ht="15.75" customHeight="1" x14ac:dyDescent="0.3">
      <c r="A116" s="15" t="s">
        <v>68</v>
      </c>
      <c r="B116" s="15" t="s">
        <v>70</v>
      </c>
      <c r="C116" s="15" t="s">
        <v>25</v>
      </c>
      <c r="D116" s="15" t="s">
        <v>16</v>
      </c>
      <c r="E116" s="15">
        <v>661.09</v>
      </c>
      <c r="F116" s="15">
        <v>1</v>
      </c>
      <c r="G116" s="15">
        <v>0.2</v>
      </c>
      <c r="H116" s="16">
        <v>45593</v>
      </c>
      <c r="I116" s="15">
        <v>264.44</v>
      </c>
      <c r="J116" s="14">
        <f t="shared" si="9"/>
        <v>2304.9</v>
      </c>
      <c r="K116" s="14" t="str">
        <f t="shared" si="10"/>
        <v>Oct-2024</v>
      </c>
      <c r="L116" s="24">
        <f t="shared" ca="1" si="11"/>
        <v>46282.435960995368</v>
      </c>
    </row>
    <row r="117" spans="1:12" ht="15.75" customHeight="1" x14ac:dyDescent="0.3">
      <c r="A117" s="15" t="s">
        <v>14</v>
      </c>
      <c r="B117" s="15" t="s">
        <v>56</v>
      </c>
      <c r="C117" s="15" t="s">
        <v>12</v>
      </c>
      <c r="D117" s="15" t="s">
        <v>22</v>
      </c>
      <c r="E117" s="15">
        <v>688.83</v>
      </c>
      <c r="F117" s="15">
        <v>15</v>
      </c>
      <c r="G117" s="15">
        <v>0</v>
      </c>
      <c r="H117" s="16">
        <v>45595</v>
      </c>
      <c r="I117" s="15">
        <v>172.21</v>
      </c>
      <c r="J117" s="14">
        <f t="shared" si="9"/>
        <v>11915.829999999998</v>
      </c>
      <c r="K117" s="14" t="str">
        <f t="shared" si="10"/>
        <v>Oct-2024</v>
      </c>
      <c r="L117" s="24">
        <f t="shared" ca="1" si="11"/>
        <v>46282.435960995368</v>
      </c>
    </row>
    <row r="118" spans="1:12" ht="15.75" customHeight="1" x14ac:dyDescent="0.3">
      <c r="A118" s="15" t="s">
        <v>74</v>
      </c>
      <c r="B118" s="15" t="s">
        <v>30</v>
      </c>
      <c r="C118" s="15" t="s">
        <v>35</v>
      </c>
      <c r="D118" s="15" t="s">
        <v>13</v>
      </c>
      <c r="E118" s="15">
        <v>1249.0999999999999</v>
      </c>
      <c r="F118" s="15">
        <v>4</v>
      </c>
      <c r="G118" s="15">
        <v>0.05</v>
      </c>
      <c r="H118" s="16">
        <v>45597</v>
      </c>
      <c r="I118" s="15">
        <v>474.66</v>
      </c>
      <c r="J118" s="14">
        <f t="shared" si="9"/>
        <v>9970.1999999999989</v>
      </c>
      <c r="K118" s="14" t="str">
        <f t="shared" si="10"/>
        <v>Nov-2024</v>
      </c>
      <c r="L118" s="24">
        <f t="shared" ca="1" si="11"/>
        <v>46282.435960995368</v>
      </c>
    </row>
    <row r="119" spans="1:12" ht="15.75" customHeight="1" x14ac:dyDescent="0.3">
      <c r="A119" s="15" t="s">
        <v>45</v>
      </c>
      <c r="B119" s="15" t="s">
        <v>24</v>
      </c>
      <c r="C119" s="15" t="s">
        <v>19</v>
      </c>
      <c r="D119" s="15" t="s">
        <v>40</v>
      </c>
      <c r="E119" s="15">
        <v>1014.22</v>
      </c>
      <c r="F119" s="15">
        <v>14</v>
      </c>
      <c r="G119" s="15">
        <v>0.05</v>
      </c>
      <c r="H119" s="16">
        <v>45599</v>
      </c>
      <c r="I119" s="15">
        <v>433.58</v>
      </c>
      <c r="J119" s="14">
        <f t="shared" si="9"/>
        <v>20774.739999999998</v>
      </c>
      <c r="K119" s="14" t="str">
        <f t="shared" si="10"/>
        <v>Nov-2024</v>
      </c>
      <c r="L119" s="24">
        <f t="shared" ca="1" si="11"/>
        <v>46282.435960995368</v>
      </c>
    </row>
    <row r="120" spans="1:12" ht="15.75" customHeight="1" x14ac:dyDescent="0.3">
      <c r="A120" s="15" t="s">
        <v>55</v>
      </c>
      <c r="B120" s="15" t="s">
        <v>49</v>
      </c>
      <c r="C120" s="15" t="s">
        <v>19</v>
      </c>
      <c r="D120" s="15" t="s">
        <v>13</v>
      </c>
      <c r="E120" s="15">
        <v>1010.58</v>
      </c>
      <c r="F120" s="15">
        <v>2</v>
      </c>
      <c r="G120" s="15">
        <v>0.15</v>
      </c>
      <c r="H120" s="16">
        <v>45605</v>
      </c>
      <c r="I120" s="15">
        <v>343.6</v>
      </c>
      <c r="J120" s="14">
        <f t="shared" si="9"/>
        <v>8090.12</v>
      </c>
      <c r="K120" s="14" t="str">
        <f t="shared" si="10"/>
        <v>Nov-2024</v>
      </c>
      <c r="L120" s="24">
        <f t="shared" ca="1" si="11"/>
        <v>46282.435960995368</v>
      </c>
    </row>
    <row r="121" spans="1:12" ht="15.75" customHeight="1" x14ac:dyDescent="0.3">
      <c r="A121" s="15" t="s">
        <v>31</v>
      </c>
      <c r="B121" s="15" t="s">
        <v>60</v>
      </c>
      <c r="C121" s="15" t="s">
        <v>25</v>
      </c>
      <c r="D121" s="15" t="s">
        <v>28</v>
      </c>
      <c r="E121" s="15">
        <v>957.29</v>
      </c>
      <c r="F121" s="15">
        <v>4</v>
      </c>
      <c r="G121" s="15">
        <v>0.05</v>
      </c>
      <c r="H121" s="16">
        <v>45605</v>
      </c>
      <c r="I121" s="15">
        <v>318.3</v>
      </c>
      <c r="J121" s="14">
        <f t="shared" si="9"/>
        <v>5443.34</v>
      </c>
      <c r="K121" s="14" t="str">
        <f t="shared" si="10"/>
        <v>Nov-2024</v>
      </c>
      <c r="L121" s="24">
        <f t="shared" ca="1" si="11"/>
        <v>46282.435960995368</v>
      </c>
    </row>
    <row r="122" spans="1:12" ht="15.75" customHeight="1" x14ac:dyDescent="0.3">
      <c r="A122" s="15" t="s">
        <v>29</v>
      </c>
      <c r="B122" s="15" t="s">
        <v>46</v>
      </c>
      <c r="C122" s="15" t="s">
        <v>25</v>
      </c>
      <c r="D122" s="15" t="s">
        <v>28</v>
      </c>
      <c r="E122" s="15">
        <v>1077.92</v>
      </c>
      <c r="F122" s="15">
        <v>3</v>
      </c>
      <c r="G122" s="15">
        <v>0.05</v>
      </c>
      <c r="H122" s="16">
        <v>45608</v>
      </c>
      <c r="I122" s="15">
        <v>358.41</v>
      </c>
      <c r="J122" s="14">
        <f t="shared" si="9"/>
        <v>8635.9500000000007</v>
      </c>
      <c r="K122" s="14" t="str">
        <f t="shared" si="10"/>
        <v>Nov-2024</v>
      </c>
      <c r="L122" s="24">
        <f t="shared" ca="1" si="11"/>
        <v>46282.435960995368</v>
      </c>
    </row>
    <row r="123" spans="1:12" ht="15.75" customHeight="1" x14ac:dyDescent="0.3">
      <c r="A123" s="15" t="s">
        <v>53</v>
      </c>
      <c r="B123" s="15" t="s">
        <v>51</v>
      </c>
      <c r="C123" s="15" t="s">
        <v>21</v>
      </c>
      <c r="D123" s="15" t="s">
        <v>16</v>
      </c>
      <c r="E123" s="15">
        <v>1163.01</v>
      </c>
      <c r="F123" s="15">
        <v>5</v>
      </c>
      <c r="G123" s="15">
        <v>0</v>
      </c>
      <c r="H123" s="16">
        <v>45611</v>
      </c>
      <c r="I123" s="15">
        <v>581.5</v>
      </c>
      <c r="J123" s="14">
        <f t="shared" si="9"/>
        <v>5801.29</v>
      </c>
      <c r="K123" s="14" t="str">
        <f t="shared" si="10"/>
        <v>Nov-2024</v>
      </c>
      <c r="L123" s="24">
        <f t="shared" ca="1" si="11"/>
        <v>46282.435960995368</v>
      </c>
    </row>
    <row r="124" spans="1:12" ht="15.75" customHeight="1" x14ac:dyDescent="0.3">
      <c r="A124" s="15" t="s">
        <v>55</v>
      </c>
      <c r="B124" s="15" t="s">
        <v>46</v>
      </c>
      <c r="C124" s="15" t="s">
        <v>19</v>
      </c>
      <c r="D124" s="15" t="s">
        <v>40</v>
      </c>
      <c r="E124" s="15">
        <v>1014.56</v>
      </c>
      <c r="F124" s="15">
        <v>10</v>
      </c>
      <c r="G124" s="15">
        <v>0.1</v>
      </c>
      <c r="H124" s="16">
        <v>45612</v>
      </c>
      <c r="I124" s="15">
        <v>410.9</v>
      </c>
      <c r="J124" s="14">
        <f t="shared" si="9"/>
        <v>8635.9500000000007</v>
      </c>
      <c r="K124" s="14" t="str">
        <f t="shared" si="10"/>
        <v>Nov-2024</v>
      </c>
      <c r="L124" s="24">
        <f t="shared" ca="1" si="11"/>
        <v>46282.435960995368</v>
      </c>
    </row>
    <row r="125" spans="1:12" ht="15.75" customHeight="1" x14ac:dyDescent="0.3">
      <c r="A125" s="15" t="s">
        <v>10</v>
      </c>
      <c r="B125" s="15" t="s">
        <v>18</v>
      </c>
      <c r="C125" s="15" t="s">
        <v>21</v>
      </c>
      <c r="D125" s="15" t="s">
        <v>22</v>
      </c>
      <c r="E125" s="15">
        <v>718.04</v>
      </c>
      <c r="F125" s="15">
        <v>14</v>
      </c>
      <c r="G125" s="15">
        <v>0</v>
      </c>
      <c r="H125" s="16">
        <v>45613</v>
      </c>
      <c r="I125" s="15">
        <v>179.51</v>
      </c>
      <c r="J125" s="14">
        <f t="shared" si="9"/>
        <v>5615.2800000000007</v>
      </c>
      <c r="K125" s="14" t="str">
        <f t="shared" si="10"/>
        <v>Nov-2024</v>
      </c>
      <c r="L125" s="24">
        <f t="shared" ca="1" si="11"/>
        <v>46282.435960995368</v>
      </c>
    </row>
    <row r="126" spans="1:12" ht="15.75" customHeight="1" x14ac:dyDescent="0.3">
      <c r="A126" s="15" t="s">
        <v>73</v>
      </c>
      <c r="B126" s="15" t="s">
        <v>18</v>
      </c>
      <c r="C126" s="15" t="s">
        <v>35</v>
      </c>
      <c r="D126" s="15" t="s">
        <v>16</v>
      </c>
      <c r="E126" s="15">
        <v>1277.8499999999999</v>
      </c>
      <c r="F126" s="15">
        <v>18</v>
      </c>
      <c r="G126" s="15">
        <v>0.2</v>
      </c>
      <c r="H126" s="16">
        <v>45613</v>
      </c>
      <c r="I126" s="15">
        <v>511.14</v>
      </c>
      <c r="J126" s="14">
        <f t="shared" si="9"/>
        <v>5615.2800000000007</v>
      </c>
      <c r="K126" s="14" t="str">
        <f t="shared" si="10"/>
        <v>Nov-2024</v>
      </c>
      <c r="L126" s="24">
        <f t="shared" ca="1" si="11"/>
        <v>46282.435960995368</v>
      </c>
    </row>
    <row r="127" spans="1:12" ht="15.75" customHeight="1" x14ac:dyDescent="0.3">
      <c r="A127" s="15" t="s">
        <v>71</v>
      </c>
      <c r="B127" s="15" t="s">
        <v>24</v>
      </c>
      <c r="C127" s="15" t="s">
        <v>25</v>
      </c>
      <c r="D127" s="15" t="s">
        <v>22</v>
      </c>
      <c r="E127" s="15">
        <v>706.73</v>
      </c>
      <c r="F127" s="15">
        <v>1</v>
      </c>
      <c r="G127" s="15">
        <v>0.15</v>
      </c>
      <c r="H127" s="16">
        <v>45613</v>
      </c>
      <c r="I127" s="15">
        <v>150.18</v>
      </c>
      <c r="J127" s="14">
        <f t="shared" si="9"/>
        <v>20774.739999999998</v>
      </c>
      <c r="K127" s="14" t="str">
        <f t="shared" si="10"/>
        <v>Nov-2024</v>
      </c>
      <c r="L127" s="24">
        <f t="shared" ca="1" si="11"/>
        <v>46282.435960995368</v>
      </c>
    </row>
    <row r="128" spans="1:12" ht="15.75" customHeight="1" x14ac:dyDescent="0.3">
      <c r="A128" s="15" t="s">
        <v>66</v>
      </c>
      <c r="B128" s="15" t="s">
        <v>51</v>
      </c>
      <c r="C128" s="15" t="s">
        <v>19</v>
      </c>
      <c r="D128" s="15" t="s">
        <v>22</v>
      </c>
      <c r="E128" s="15">
        <v>1410.59</v>
      </c>
      <c r="F128" s="15">
        <v>15</v>
      </c>
      <c r="G128" s="15">
        <v>0</v>
      </c>
      <c r="H128" s="16">
        <v>45615</v>
      </c>
      <c r="I128" s="15">
        <v>352.65</v>
      </c>
      <c r="J128" s="14">
        <f t="shared" si="9"/>
        <v>5801.29</v>
      </c>
      <c r="K128" s="14" t="str">
        <f t="shared" si="10"/>
        <v>Nov-2024</v>
      </c>
      <c r="L128" s="24">
        <f t="shared" ca="1" si="11"/>
        <v>46282.435960995368</v>
      </c>
    </row>
    <row r="129" spans="1:12" ht="15.75" customHeight="1" x14ac:dyDescent="0.3">
      <c r="A129" s="15" t="s">
        <v>33</v>
      </c>
      <c r="B129" s="15" t="s">
        <v>62</v>
      </c>
      <c r="C129" s="15" t="s">
        <v>21</v>
      </c>
      <c r="D129" s="15" t="s">
        <v>28</v>
      </c>
      <c r="E129" s="15">
        <v>1350.33</v>
      </c>
      <c r="F129" s="15">
        <v>10</v>
      </c>
      <c r="G129" s="15">
        <v>0</v>
      </c>
      <c r="H129" s="16">
        <v>45615</v>
      </c>
      <c r="I129" s="15">
        <v>472.62</v>
      </c>
      <c r="J129" s="14">
        <f t="shared" si="9"/>
        <v>8543.9699999999993</v>
      </c>
      <c r="K129" s="14" t="str">
        <f t="shared" si="10"/>
        <v>Nov-2024</v>
      </c>
      <c r="L129" s="24">
        <f t="shared" ca="1" si="11"/>
        <v>46282.435960995368</v>
      </c>
    </row>
    <row r="130" spans="1:12" ht="15.75" customHeight="1" x14ac:dyDescent="0.3">
      <c r="A130" s="15" t="s">
        <v>42</v>
      </c>
      <c r="B130" s="15" t="s">
        <v>46</v>
      </c>
      <c r="C130" s="15" t="s">
        <v>19</v>
      </c>
      <c r="D130" s="15" t="s">
        <v>22</v>
      </c>
      <c r="E130" s="15">
        <v>919.18</v>
      </c>
      <c r="F130" s="15">
        <v>4</v>
      </c>
      <c r="G130" s="15">
        <v>0.15</v>
      </c>
      <c r="H130" s="16">
        <v>45615</v>
      </c>
      <c r="I130" s="15">
        <v>195.33</v>
      </c>
      <c r="J130" s="14">
        <f t="shared" ref="J130:J161" si="12">SUMIF(B:B,B130,E:E)</f>
        <v>8635.9500000000007</v>
      </c>
      <c r="K130" s="14" t="str">
        <f t="shared" ref="K130:K161" si="13">TEXT(H130,"MMM-YYYY")</f>
        <v>Nov-2024</v>
      </c>
      <c r="L130" s="24">
        <f t="shared" ref="L130:L161" ca="1" si="14">NOW()</f>
        <v>46282.435960995368</v>
      </c>
    </row>
    <row r="131" spans="1:12" ht="15.75" customHeight="1" x14ac:dyDescent="0.3">
      <c r="A131" s="15" t="s">
        <v>75</v>
      </c>
      <c r="B131" s="15" t="s">
        <v>24</v>
      </c>
      <c r="C131" s="15" t="s">
        <v>12</v>
      </c>
      <c r="D131" s="15" t="s">
        <v>22</v>
      </c>
      <c r="E131" s="15">
        <v>258.51</v>
      </c>
      <c r="F131" s="15">
        <v>19</v>
      </c>
      <c r="G131" s="15">
        <v>0</v>
      </c>
      <c r="H131" s="16">
        <v>45616</v>
      </c>
      <c r="I131" s="15">
        <v>64.63</v>
      </c>
      <c r="J131" s="14">
        <f t="shared" si="12"/>
        <v>20774.739999999998</v>
      </c>
      <c r="K131" s="14" t="str">
        <f t="shared" si="13"/>
        <v>Nov-2024</v>
      </c>
      <c r="L131" s="24">
        <f t="shared" ca="1" si="14"/>
        <v>46282.435960995368</v>
      </c>
    </row>
    <row r="132" spans="1:12" ht="15.75" customHeight="1" x14ac:dyDescent="0.3">
      <c r="A132" s="15" t="s">
        <v>64</v>
      </c>
      <c r="B132" s="15" t="s">
        <v>62</v>
      </c>
      <c r="C132" s="15" t="s">
        <v>19</v>
      </c>
      <c r="D132" s="15" t="s">
        <v>13</v>
      </c>
      <c r="E132" s="15">
        <v>1213.48</v>
      </c>
      <c r="F132" s="15">
        <v>5</v>
      </c>
      <c r="G132" s="15">
        <v>0.05</v>
      </c>
      <c r="H132" s="16">
        <v>45616</v>
      </c>
      <c r="I132" s="15">
        <v>461.12</v>
      </c>
      <c r="J132" s="14">
        <f t="shared" si="12"/>
        <v>8543.9699999999993</v>
      </c>
      <c r="K132" s="14" t="str">
        <f t="shared" si="13"/>
        <v>Nov-2024</v>
      </c>
      <c r="L132" s="24">
        <f t="shared" ca="1" si="14"/>
        <v>46282.435960995368</v>
      </c>
    </row>
    <row r="133" spans="1:12" ht="15.75" customHeight="1" x14ac:dyDescent="0.3">
      <c r="A133" s="15" t="s">
        <v>58</v>
      </c>
      <c r="B133" s="15" t="s">
        <v>39</v>
      </c>
      <c r="C133" s="15" t="s">
        <v>35</v>
      </c>
      <c r="D133" s="15" t="s">
        <v>13</v>
      </c>
      <c r="E133" s="15">
        <v>1150.28</v>
      </c>
      <c r="F133" s="15">
        <v>8</v>
      </c>
      <c r="G133" s="15">
        <v>0.05</v>
      </c>
      <c r="H133" s="16">
        <v>45622</v>
      </c>
      <c r="I133" s="15">
        <v>437.11</v>
      </c>
      <c r="J133" s="14">
        <f t="shared" si="12"/>
        <v>11398.32</v>
      </c>
      <c r="K133" s="14" t="str">
        <f t="shared" si="13"/>
        <v>Nov-2024</v>
      </c>
      <c r="L133" s="24">
        <f t="shared" ca="1" si="14"/>
        <v>46282.435960995368</v>
      </c>
    </row>
    <row r="134" spans="1:12" ht="15.75" customHeight="1" x14ac:dyDescent="0.3">
      <c r="A134" s="15" t="s">
        <v>38</v>
      </c>
      <c r="B134" s="15" t="s">
        <v>72</v>
      </c>
      <c r="C134" s="15" t="s">
        <v>21</v>
      </c>
      <c r="D134" s="15" t="s">
        <v>28</v>
      </c>
      <c r="E134" s="15">
        <v>853.86</v>
      </c>
      <c r="F134" s="15">
        <v>8</v>
      </c>
      <c r="G134" s="15">
        <v>0.1</v>
      </c>
      <c r="H134" s="16">
        <v>45622</v>
      </c>
      <c r="I134" s="15">
        <v>268.97000000000003</v>
      </c>
      <c r="J134" s="14">
        <f t="shared" si="12"/>
        <v>5465.71</v>
      </c>
      <c r="K134" s="14" t="str">
        <f t="shared" si="13"/>
        <v>Nov-2024</v>
      </c>
      <c r="L134" s="24">
        <f t="shared" ca="1" si="14"/>
        <v>46282.435960995368</v>
      </c>
    </row>
    <row r="135" spans="1:12" ht="15.75" customHeight="1" x14ac:dyDescent="0.3">
      <c r="A135" s="15" t="s">
        <v>76</v>
      </c>
      <c r="B135" s="15" t="s">
        <v>46</v>
      </c>
      <c r="C135" s="15" t="s">
        <v>21</v>
      </c>
      <c r="D135" s="15" t="s">
        <v>22</v>
      </c>
      <c r="E135" s="15">
        <v>1061.04</v>
      </c>
      <c r="F135" s="15">
        <v>1</v>
      </c>
      <c r="G135" s="15">
        <v>0</v>
      </c>
      <c r="H135" s="16">
        <v>45624</v>
      </c>
      <c r="I135" s="15">
        <v>265.26</v>
      </c>
      <c r="J135" s="14">
        <f t="shared" si="12"/>
        <v>8635.9500000000007</v>
      </c>
      <c r="K135" s="14" t="str">
        <f t="shared" si="13"/>
        <v>Nov-2024</v>
      </c>
      <c r="L135" s="24">
        <f t="shared" ca="1" si="14"/>
        <v>46282.435960995368</v>
      </c>
    </row>
    <row r="136" spans="1:12" ht="15.75" customHeight="1" x14ac:dyDescent="0.3">
      <c r="A136" s="15" t="s">
        <v>29</v>
      </c>
      <c r="B136" s="15" t="s">
        <v>44</v>
      </c>
      <c r="C136" s="15" t="s">
        <v>12</v>
      </c>
      <c r="D136" s="15" t="s">
        <v>22</v>
      </c>
      <c r="E136" s="15">
        <v>894.55</v>
      </c>
      <c r="F136" s="15">
        <v>19</v>
      </c>
      <c r="G136" s="15">
        <v>0.2</v>
      </c>
      <c r="H136" s="16">
        <v>45625</v>
      </c>
      <c r="I136" s="15">
        <v>178.91</v>
      </c>
      <c r="J136" s="14">
        <f t="shared" si="12"/>
        <v>7296.1900000000005</v>
      </c>
      <c r="K136" s="14" t="str">
        <f t="shared" si="13"/>
        <v>Nov-2024</v>
      </c>
      <c r="L136" s="24">
        <f t="shared" ca="1" si="14"/>
        <v>46282.435960995368</v>
      </c>
    </row>
    <row r="137" spans="1:12" ht="15.75" customHeight="1" x14ac:dyDescent="0.3">
      <c r="A137" s="15" t="s">
        <v>26</v>
      </c>
      <c r="B137" s="15" t="s">
        <v>39</v>
      </c>
      <c r="C137" s="15" t="s">
        <v>25</v>
      </c>
      <c r="D137" s="15" t="s">
        <v>40</v>
      </c>
      <c r="E137" s="15">
        <v>833.91</v>
      </c>
      <c r="F137" s="15">
        <v>3</v>
      </c>
      <c r="G137" s="15">
        <v>0.05</v>
      </c>
      <c r="H137" s="16">
        <v>45626</v>
      </c>
      <c r="I137" s="15">
        <v>356.5</v>
      </c>
      <c r="J137" s="14">
        <f t="shared" si="12"/>
        <v>11398.32</v>
      </c>
      <c r="K137" s="14" t="str">
        <f t="shared" si="13"/>
        <v>Nov-2024</v>
      </c>
      <c r="L137" s="24">
        <f t="shared" ca="1" si="14"/>
        <v>46282.435960995368</v>
      </c>
    </row>
    <row r="138" spans="1:12" ht="15.75" customHeight="1" x14ac:dyDescent="0.3">
      <c r="A138" s="15" t="s">
        <v>59</v>
      </c>
      <c r="B138" s="15" t="s">
        <v>72</v>
      </c>
      <c r="C138" s="15" t="s">
        <v>12</v>
      </c>
      <c r="D138" s="15" t="s">
        <v>28</v>
      </c>
      <c r="E138" s="15">
        <v>820.19</v>
      </c>
      <c r="F138" s="15">
        <v>4</v>
      </c>
      <c r="G138" s="15">
        <v>0.2</v>
      </c>
      <c r="H138" s="16">
        <v>45630</v>
      </c>
      <c r="I138" s="15">
        <v>229.65</v>
      </c>
      <c r="J138" s="14">
        <f t="shared" si="12"/>
        <v>5465.71</v>
      </c>
      <c r="K138" s="14" t="str">
        <f t="shared" si="13"/>
        <v>Dec-2024</v>
      </c>
      <c r="L138" s="24">
        <f t="shared" ca="1" si="14"/>
        <v>46282.435960995368</v>
      </c>
    </row>
    <row r="139" spans="1:12" ht="15.75" customHeight="1" x14ac:dyDescent="0.3">
      <c r="A139" s="15" t="s">
        <v>59</v>
      </c>
      <c r="B139" s="15" t="s">
        <v>39</v>
      </c>
      <c r="C139" s="15" t="s">
        <v>35</v>
      </c>
      <c r="D139" s="15" t="s">
        <v>22</v>
      </c>
      <c r="E139" s="15">
        <v>511.74</v>
      </c>
      <c r="F139" s="15">
        <v>8</v>
      </c>
      <c r="G139" s="15">
        <v>0.05</v>
      </c>
      <c r="H139" s="16">
        <v>45631</v>
      </c>
      <c r="I139" s="15">
        <v>121.54</v>
      </c>
      <c r="J139" s="14">
        <f t="shared" si="12"/>
        <v>11398.32</v>
      </c>
      <c r="K139" s="14" t="str">
        <f t="shared" si="13"/>
        <v>Dec-2024</v>
      </c>
      <c r="L139" s="24">
        <f t="shared" ca="1" si="14"/>
        <v>46282.435960995368</v>
      </c>
    </row>
    <row r="140" spans="1:12" ht="15.75" customHeight="1" x14ac:dyDescent="0.3">
      <c r="A140" s="15" t="s">
        <v>66</v>
      </c>
      <c r="B140" s="15" t="s">
        <v>62</v>
      </c>
      <c r="C140" s="15" t="s">
        <v>21</v>
      </c>
      <c r="D140" s="15" t="s">
        <v>28</v>
      </c>
      <c r="E140" s="15">
        <v>806.03</v>
      </c>
      <c r="F140" s="15">
        <v>19</v>
      </c>
      <c r="G140" s="15">
        <v>0.05</v>
      </c>
      <c r="H140" s="16">
        <v>45638</v>
      </c>
      <c r="I140" s="15">
        <v>268</v>
      </c>
      <c r="J140" s="14">
        <f t="shared" si="12"/>
        <v>8543.9699999999993</v>
      </c>
      <c r="K140" s="14" t="str">
        <f t="shared" si="13"/>
        <v>Dec-2024</v>
      </c>
      <c r="L140" s="24">
        <f t="shared" ca="1" si="14"/>
        <v>46282.435960995368</v>
      </c>
    </row>
    <row r="141" spans="1:12" ht="15.75" customHeight="1" x14ac:dyDescent="0.3">
      <c r="A141" s="15" t="s">
        <v>29</v>
      </c>
      <c r="B141" s="15" t="s">
        <v>27</v>
      </c>
      <c r="C141" s="15" t="s">
        <v>35</v>
      </c>
      <c r="D141" s="15" t="s">
        <v>28</v>
      </c>
      <c r="E141" s="15">
        <v>1432.47</v>
      </c>
      <c r="F141" s="15">
        <v>16</v>
      </c>
      <c r="G141" s="15">
        <v>0.15</v>
      </c>
      <c r="H141" s="16">
        <v>45640</v>
      </c>
      <c r="I141" s="15">
        <v>426.16</v>
      </c>
      <c r="J141" s="14">
        <f t="shared" si="12"/>
        <v>7881.9</v>
      </c>
      <c r="K141" s="14" t="str">
        <f t="shared" si="13"/>
        <v>Dec-2024</v>
      </c>
      <c r="L141" s="24">
        <f t="shared" ca="1" si="14"/>
        <v>46282.435960995368</v>
      </c>
    </row>
    <row r="142" spans="1:12" ht="15.75" customHeight="1" x14ac:dyDescent="0.3">
      <c r="A142" s="15" t="s">
        <v>75</v>
      </c>
      <c r="B142" s="15" t="s">
        <v>30</v>
      </c>
      <c r="C142" s="15" t="s">
        <v>35</v>
      </c>
      <c r="D142" s="15" t="s">
        <v>22</v>
      </c>
      <c r="E142" s="15">
        <v>1488.58</v>
      </c>
      <c r="F142" s="15">
        <v>10</v>
      </c>
      <c r="G142" s="15">
        <v>0.15</v>
      </c>
      <c r="H142" s="16">
        <v>45640</v>
      </c>
      <c r="I142" s="15">
        <v>316.32</v>
      </c>
      <c r="J142" s="14">
        <f t="shared" si="12"/>
        <v>9970.1999999999989</v>
      </c>
      <c r="K142" s="14" t="str">
        <f t="shared" si="13"/>
        <v>Dec-2024</v>
      </c>
      <c r="L142" s="24">
        <f t="shared" ca="1" si="14"/>
        <v>46282.435960995368</v>
      </c>
    </row>
    <row r="143" spans="1:12" ht="15.75" customHeight="1" x14ac:dyDescent="0.3">
      <c r="A143" s="15" t="s">
        <v>31</v>
      </c>
      <c r="B143" s="15" t="s">
        <v>67</v>
      </c>
      <c r="C143" s="15" t="s">
        <v>19</v>
      </c>
      <c r="D143" s="15" t="s">
        <v>13</v>
      </c>
      <c r="E143" s="15">
        <v>1231.26</v>
      </c>
      <c r="F143" s="15">
        <v>9</v>
      </c>
      <c r="G143" s="15">
        <v>0</v>
      </c>
      <c r="H143" s="16">
        <v>45646</v>
      </c>
      <c r="I143" s="15">
        <v>492.5</v>
      </c>
      <c r="J143" s="14">
        <f t="shared" si="12"/>
        <v>5014.96</v>
      </c>
      <c r="K143" s="14" t="str">
        <f t="shared" si="13"/>
        <v>Dec-2024</v>
      </c>
      <c r="L143" s="24">
        <f t="shared" ca="1" si="14"/>
        <v>46282.435960995368</v>
      </c>
    </row>
    <row r="144" spans="1:12" ht="15.75" customHeight="1" x14ac:dyDescent="0.3">
      <c r="A144" s="15" t="s">
        <v>31</v>
      </c>
      <c r="B144" s="15" t="s">
        <v>44</v>
      </c>
      <c r="C144" s="15" t="s">
        <v>12</v>
      </c>
      <c r="D144" s="15" t="s">
        <v>22</v>
      </c>
      <c r="E144" s="15">
        <v>1161.67</v>
      </c>
      <c r="F144" s="15">
        <v>19</v>
      </c>
      <c r="G144" s="15">
        <v>0.2</v>
      </c>
      <c r="H144" s="16">
        <v>45647</v>
      </c>
      <c r="I144" s="15">
        <v>232.33</v>
      </c>
      <c r="J144" s="14">
        <f t="shared" si="12"/>
        <v>7296.1900000000005</v>
      </c>
      <c r="K144" s="14" t="str">
        <f t="shared" si="13"/>
        <v>Dec-2024</v>
      </c>
      <c r="L144" s="24">
        <f t="shared" ca="1" si="14"/>
        <v>46282.435960995368</v>
      </c>
    </row>
    <row r="145" spans="1:12" ht="15.75" customHeight="1" x14ac:dyDescent="0.3">
      <c r="A145" s="15" t="s">
        <v>50</v>
      </c>
      <c r="B145" s="15" t="s">
        <v>46</v>
      </c>
      <c r="C145" s="15" t="s">
        <v>35</v>
      </c>
      <c r="D145" s="15" t="s">
        <v>40</v>
      </c>
      <c r="E145" s="15">
        <v>388.23</v>
      </c>
      <c r="F145" s="15">
        <v>16</v>
      </c>
      <c r="G145" s="15">
        <v>0.05</v>
      </c>
      <c r="H145" s="16">
        <v>45650</v>
      </c>
      <c r="I145" s="15">
        <v>165.97</v>
      </c>
      <c r="J145" s="14">
        <f t="shared" si="12"/>
        <v>8635.9500000000007</v>
      </c>
      <c r="K145" s="14" t="str">
        <f t="shared" si="13"/>
        <v>Dec-2024</v>
      </c>
      <c r="L145" s="24">
        <f t="shared" ca="1" si="14"/>
        <v>46282.435960995368</v>
      </c>
    </row>
    <row r="146" spans="1:12" ht="15.75" customHeight="1" x14ac:dyDescent="0.3">
      <c r="A146" s="15" t="s">
        <v>73</v>
      </c>
      <c r="B146" s="15" t="s">
        <v>32</v>
      </c>
      <c r="C146" s="15" t="s">
        <v>25</v>
      </c>
      <c r="D146" s="15" t="s">
        <v>16</v>
      </c>
      <c r="E146" s="15">
        <v>1589.42</v>
      </c>
      <c r="F146" s="15">
        <v>6</v>
      </c>
      <c r="G146" s="15">
        <v>0.15</v>
      </c>
      <c r="H146" s="16">
        <v>45651</v>
      </c>
      <c r="I146" s="15">
        <v>675.5</v>
      </c>
      <c r="J146" s="14">
        <f t="shared" si="12"/>
        <v>17143.289999999997</v>
      </c>
      <c r="K146" s="14" t="str">
        <f t="shared" si="13"/>
        <v>Dec-2024</v>
      </c>
      <c r="L146" s="24">
        <f t="shared" ca="1" si="14"/>
        <v>46282.435960995368</v>
      </c>
    </row>
    <row r="147" spans="1:12" ht="15.75" customHeight="1" x14ac:dyDescent="0.3">
      <c r="A147" s="15" t="s">
        <v>29</v>
      </c>
      <c r="B147" s="15" t="s">
        <v>72</v>
      </c>
      <c r="C147" s="15" t="s">
        <v>25</v>
      </c>
      <c r="D147" s="15" t="s">
        <v>16</v>
      </c>
      <c r="E147" s="15">
        <v>336.66</v>
      </c>
      <c r="F147" s="15">
        <v>13</v>
      </c>
      <c r="G147" s="15">
        <v>0.2</v>
      </c>
      <c r="H147" s="16">
        <v>45651</v>
      </c>
      <c r="I147" s="15">
        <v>134.66</v>
      </c>
      <c r="J147" s="14">
        <f t="shared" si="12"/>
        <v>5465.71</v>
      </c>
      <c r="K147" s="14" t="str">
        <f t="shared" si="13"/>
        <v>Dec-2024</v>
      </c>
      <c r="L147" s="24">
        <f t="shared" ca="1" si="14"/>
        <v>46282.435960995368</v>
      </c>
    </row>
    <row r="148" spans="1:12" ht="15.75" customHeight="1" x14ac:dyDescent="0.3">
      <c r="A148" s="15" t="s">
        <v>50</v>
      </c>
      <c r="B148" s="15" t="s">
        <v>24</v>
      </c>
      <c r="C148" s="15" t="s">
        <v>12</v>
      </c>
      <c r="D148" s="15" t="s">
        <v>13</v>
      </c>
      <c r="E148" s="15">
        <v>1353.79</v>
      </c>
      <c r="F148" s="15">
        <v>14</v>
      </c>
      <c r="G148" s="15">
        <v>0.1</v>
      </c>
      <c r="H148" s="16">
        <v>45656</v>
      </c>
      <c r="I148" s="15">
        <v>487.36</v>
      </c>
      <c r="J148" s="14">
        <f t="shared" si="12"/>
        <v>20774.739999999998</v>
      </c>
      <c r="K148" s="14" t="str">
        <f t="shared" si="13"/>
        <v>Dec-2024</v>
      </c>
      <c r="L148" s="24">
        <f t="shared" ca="1" si="14"/>
        <v>46282.435960995368</v>
      </c>
    </row>
    <row r="149" spans="1:12" ht="15.75" customHeight="1" x14ac:dyDescent="0.3">
      <c r="A149" s="15" t="s">
        <v>64</v>
      </c>
      <c r="B149" s="15" t="s">
        <v>70</v>
      </c>
      <c r="C149" s="15" t="s">
        <v>35</v>
      </c>
      <c r="D149" s="15" t="s">
        <v>16</v>
      </c>
      <c r="E149" s="15">
        <v>662.61</v>
      </c>
      <c r="F149" s="15">
        <v>11</v>
      </c>
      <c r="G149" s="15">
        <v>0.05</v>
      </c>
      <c r="H149" s="16">
        <v>45658</v>
      </c>
      <c r="I149" s="15">
        <v>314.74</v>
      </c>
      <c r="J149" s="14">
        <f t="shared" si="12"/>
        <v>2304.9</v>
      </c>
      <c r="K149" s="14" t="str">
        <f t="shared" si="13"/>
        <v>Jan-2025</v>
      </c>
      <c r="L149" s="24">
        <f t="shared" ca="1" si="14"/>
        <v>46282.435960995368</v>
      </c>
    </row>
    <row r="150" spans="1:12" ht="15.75" customHeight="1" x14ac:dyDescent="0.3">
      <c r="A150" s="15" t="s">
        <v>53</v>
      </c>
      <c r="B150" s="15" t="s">
        <v>49</v>
      </c>
      <c r="C150" s="15" t="s">
        <v>25</v>
      </c>
      <c r="D150" s="15" t="s">
        <v>40</v>
      </c>
      <c r="E150" s="15">
        <v>309.42</v>
      </c>
      <c r="F150" s="15">
        <v>1</v>
      </c>
      <c r="G150" s="15">
        <v>0.2</v>
      </c>
      <c r="H150" s="16">
        <v>45658</v>
      </c>
      <c r="I150" s="15">
        <v>111.39</v>
      </c>
      <c r="J150" s="14">
        <f t="shared" si="12"/>
        <v>8090.12</v>
      </c>
      <c r="K150" s="14" t="str">
        <f t="shared" si="13"/>
        <v>Jan-2025</v>
      </c>
      <c r="L150" s="24">
        <f t="shared" ca="1" si="14"/>
        <v>46282.435960995368</v>
      </c>
    </row>
    <row r="151" spans="1:12" ht="15.75" customHeight="1" x14ac:dyDescent="0.3">
      <c r="A151" s="15" t="s">
        <v>64</v>
      </c>
      <c r="B151" s="15" t="s">
        <v>30</v>
      </c>
      <c r="C151" s="15" t="s">
        <v>25</v>
      </c>
      <c r="D151" s="15" t="s">
        <v>13</v>
      </c>
      <c r="E151" s="15">
        <v>884.63</v>
      </c>
      <c r="F151" s="15">
        <v>18</v>
      </c>
      <c r="G151" s="15">
        <v>0.1</v>
      </c>
      <c r="H151" s="16">
        <v>45659</v>
      </c>
      <c r="I151" s="15">
        <v>318.47000000000003</v>
      </c>
      <c r="J151" s="14">
        <f t="shared" si="12"/>
        <v>9970.1999999999989</v>
      </c>
      <c r="K151" s="14" t="str">
        <f t="shared" si="13"/>
        <v>Jan-2025</v>
      </c>
      <c r="L151" s="24">
        <f t="shared" ca="1" si="14"/>
        <v>46282.435960995368</v>
      </c>
    </row>
    <row r="152" spans="1:12" ht="15.75" customHeight="1" x14ac:dyDescent="0.3">
      <c r="A152" s="15" t="s">
        <v>53</v>
      </c>
      <c r="B152" s="15" t="s">
        <v>24</v>
      </c>
      <c r="C152" s="15" t="s">
        <v>35</v>
      </c>
      <c r="D152" s="15" t="s">
        <v>40</v>
      </c>
      <c r="E152" s="15">
        <v>745.05</v>
      </c>
      <c r="F152" s="15">
        <v>10</v>
      </c>
      <c r="G152" s="15">
        <v>0.1</v>
      </c>
      <c r="H152" s="16">
        <v>45660</v>
      </c>
      <c r="I152" s="15">
        <v>301.75</v>
      </c>
      <c r="J152" s="14">
        <f t="shared" si="12"/>
        <v>20774.739999999998</v>
      </c>
      <c r="K152" s="14" t="str">
        <f t="shared" si="13"/>
        <v>Jan-2025</v>
      </c>
      <c r="L152" s="24">
        <f t="shared" ca="1" si="14"/>
        <v>46282.435960995368</v>
      </c>
    </row>
    <row r="153" spans="1:12" ht="15.75" customHeight="1" x14ac:dyDescent="0.3">
      <c r="A153" s="15" t="s">
        <v>61</v>
      </c>
      <c r="B153" s="15" t="s">
        <v>18</v>
      </c>
      <c r="C153" s="15" t="s">
        <v>21</v>
      </c>
      <c r="D153" s="15" t="s">
        <v>16</v>
      </c>
      <c r="E153" s="15">
        <v>870.23</v>
      </c>
      <c r="F153" s="15">
        <v>5</v>
      </c>
      <c r="G153" s="15">
        <v>0.05</v>
      </c>
      <c r="H153" s="16">
        <v>45660</v>
      </c>
      <c r="I153" s="15">
        <v>413.36</v>
      </c>
      <c r="J153" s="14">
        <f t="shared" si="12"/>
        <v>5615.2800000000007</v>
      </c>
      <c r="K153" s="14" t="str">
        <f t="shared" si="13"/>
        <v>Jan-2025</v>
      </c>
      <c r="L153" s="24">
        <f t="shared" ca="1" si="14"/>
        <v>46282.435960995368</v>
      </c>
    </row>
    <row r="154" spans="1:12" ht="15.75" customHeight="1" x14ac:dyDescent="0.3">
      <c r="A154" s="15" t="s">
        <v>36</v>
      </c>
      <c r="B154" s="15" t="s">
        <v>30</v>
      </c>
      <c r="C154" s="15" t="s">
        <v>12</v>
      </c>
      <c r="D154" s="15" t="s">
        <v>28</v>
      </c>
      <c r="E154" s="15">
        <v>862.19</v>
      </c>
      <c r="F154" s="15">
        <v>18</v>
      </c>
      <c r="G154" s="15">
        <v>0.05</v>
      </c>
      <c r="H154" s="16">
        <v>45663</v>
      </c>
      <c r="I154" s="15">
        <v>286.68</v>
      </c>
      <c r="J154" s="14">
        <f t="shared" si="12"/>
        <v>9970.1999999999989</v>
      </c>
      <c r="K154" s="14" t="str">
        <f t="shared" si="13"/>
        <v>Jan-2025</v>
      </c>
      <c r="L154" s="24">
        <f t="shared" ca="1" si="14"/>
        <v>46282.435960995368</v>
      </c>
    </row>
    <row r="155" spans="1:12" ht="15.75" customHeight="1" x14ac:dyDescent="0.3">
      <c r="A155" s="15" t="s">
        <v>74</v>
      </c>
      <c r="B155" s="15" t="s">
        <v>60</v>
      </c>
      <c r="C155" s="15" t="s">
        <v>25</v>
      </c>
      <c r="D155" s="15" t="s">
        <v>16</v>
      </c>
      <c r="E155" s="15">
        <v>1171.18</v>
      </c>
      <c r="F155" s="15">
        <v>19</v>
      </c>
      <c r="G155" s="15">
        <v>0.05</v>
      </c>
      <c r="H155" s="16">
        <v>45667</v>
      </c>
      <c r="I155" s="15">
        <v>556.30999999999995</v>
      </c>
      <c r="J155" s="14">
        <f t="shared" si="12"/>
        <v>5443.34</v>
      </c>
      <c r="K155" s="14" t="str">
        <f t="shared" si="13"/>
        <v>Jan-2025</v>
      </c>
      <c r="L155" s="24">
        <f t="shared" ca="1" si="14"/>
        <v>46282.435960995368</v>
      </c>
    </row>
    <row r="156" spans="1:12" ht="15.75" customHeight="1" x14ac:dyDescent="0.3">
      <c r="A156" s="15" t="s">
        <v>59</v>
      </c>
      <c r="B156" s="15" t="s">
        <v>15</v>
      </c>
      <c r="C156" s="15" t="s">
        <v>21</v>
      </c>
      <c r="D156" s="15" t="s">
        <v>28</v>
      </c>
      <c r="E156" s="15">
        <v>1054.56</v>
      </c>
      <c r="F156" s="15">
        <v>11</v>
      </c>
      <c r="G156" s="15">
        <v>0.1</v>
      </c>
      <c r="H156" s="16">
        <v>45669</v>
      </c>
      <c r="I156" s="15">
        <v>332.19</v>
      </c>
      <c r="J156" s="14">
        <f t="shared" si="12"/>
        <v>8331.8499999999985</v>
      </c>
      <c r="K156" s="14" t="str">
        <f t="shared" si="13"/>
        <v>Jan-2025</v>
      </c>
      <c r="L156" s="24">
        <f t="shared" ca="1" si="14"/>
        <v>46282.435960995368</v>
      </c>
    </row>
    <row r="157" spans="1:12" ht="15.75" customHeight="1" x14ac:dyDescent="0.3">
      <c r="A157" s="15" t="s">
        <v>59</v>
      </c>
      <c r="B157" s="15" t="s">
        <v>24</v>
      </c>
      <c r="C157" s="15" t="s">
        <v>25</v>
      </c>
      <c r="D157" s="15" t="s">
        <v>22</v>
      </c>
      <c r="E157" s="15">
        <v>1681.21</v>
      </c>
      <c r="F157" s="15">
        <v>5</v>
      </c>
      <c r="G157" s="15">
        <v>0.2</v>
      </c>
      <c r="H157" s="16">
        <v>45670</v>
      </c>
      <c r="I157" s="15">
        <v>336.24</v>
      </c>
      <c r="J157" s="14">
        <f t="shared" si="12"/>
        <v>20774.739999999998</v>
      </c>
      <c r="K157" s="14" t="str">
        <f t="shared" si="13"/>
        <v>Jan-2025</v>
      </c>
      <c r="L157" s="24">
        <f t="shared" ca="1" si="14"/>
        <v>46282.435960995368</v>
      </c>
    </row>
    <row r="158" spans="1:12" ht="15.75" customHeight="1" x14ac:dyDescent="0.3">
      <c r="A158" s="15" t="s">
        <v>59</v>
      </c>
      <c r="B158" s="15" t="s">
        <v>37</v>
      </c>
      <c r="C158" s="15" t="s">
        <v>12</v>
      </c>
      <c r="D158" s="15" t="s">
        <v>16</v>
      </c>
      <c r="E158" s="15">
        <v>379.77</v>
      </c>
      <c r="F158" s="15">
        <v>9</v>
      </c>
      <c r="G158" s="15">
        <v>0.05</v>
      </c>
      <c r="H158" s="16">
        <v>45673</v>
      </c>
      <c r="I158" s="15">
        <v>180.39</v>
      </c>
      <c r="J158" s="14">
        <f t="shared" si="12"/>
        <v>7020.3799999999992</v>
      </c>
      <c r="K158" s="14" t="str">
        <f t="shared" si="13"/>
        <v>Jan-2025</v>
      </c>
      <c r="L158" s="24">
        <f t="shared" ca="1" si="14"/>
        <v>46282.435960995368</v>
      </c>
    </row>
    <row r="159" spans="1:12" ht="15.75" customHeight="1" x14ac:dyDescent="0.3">
      <c r="A159" s="15" t="s">
        <v>45</v>
      </c>
      <c r="B159" s="15" t="s">
        <v>46</v>
      </c>
      <c r="C159" s="15" t="s">
        <v>35</v>
      </c>
      <c r="D159" s="15" t="s">
        <v>16</v>
      </c>
      <c r="E159" s="15">
        <v>1076.33</v>
      </c>
      <c r="F159" s="15">
        <v>2</v>
      </c>
      <c r="G159" s="15">
        <v>0.1</v>
      </c>
      <c r="H159" s="16">
        <v>45674</v>
      </c>
      <c r="I159" s="15">
        <v>484.35</v>
      </c>
      <c r="J159" s="14">
        <f t="shared" si="12"/>
        <v>8635.9500000000007</v>
      </c>
      <c r="K159" s="14" t="str">
        <f t="shared" si="13"/>
        <v>Jan-2025</v>
      </c>
      <c r="L159" s="24">
        <f t="shared" ca="1" si="14"/>
        <v>46282.435960995368</v>
      </c>
    </row>
    <row r="160" spans="1:12" ht="15.75" customHeight="1" x14ac:dyDescent="0.3">
      <c r="A160" s="15" t="s">
        <v>45</v>
      </c>
      <c r="B160" s="15" t="s">
        <v>32</v>
      </c>
      <c r="C160" s="15" t="s">
        <v>35</v>
      </c>
      <c r="D160" s="15" t="s">
        <v>40</v>
      </c>
      <c r="E160" s="15">
        <v>1250.71</v>
      </c>
      <c r="F160" s="15">
        <v>7</v>
      </c>
      <c r="G160" s="15">
        <v>0</v>
      </c>
      <c r="H160" s="16">
        <v>45674</v>
      </c>
      <c r="I160" s="15">
        <v>562.82000000000005</v>
      </c>
      <c r="J160" s="14">
        <f t="shared" si="12"/>
        <v>17143.289999999997</v>
      </c>
      <c r="K160" s="14" t="str">
        <f t="shared" si="13"/>
        <v>Jan-2025</v>
      </c>
      <c r="L160" s="24">
        <f t="shared" ca="1" si="14"/>
        <v>46282.435960995368</v>
      </c>
    </row>
    <row r="161" spans="1:12" ht="15.75" customHeight="1" x14ac:dyDescent="0.3">
      <c r="A161" s="15" t="s">
        <v>41</v>
      </c>
      <c r="B161" s="15" t="s">
        <v>18</v>
      </c>
      <c r="C161" s="15" t="s">
        <v>21</v>
      </c>
      <c r="D161" s="15" t="s">
        <v>16</v>
      </c>
      <c r="E161" s="15">
        <v>1118.3399999999999</v>
      </c>
      <c r="F161" s="15">
        <v>6</v>
      </c>
      <c r="G161" s="15">
        <v>0.2</v>
      </c>
      <c r="H161" s="16">
        <v>45674</v>
      </c>
      <c r="I161" s="15">
        <v>447.34</v>
      </c>
      <c r="J161" s="14">
        <f t="shared" si="12"/>
        <v>5615.2800000000007</v>
      </c>
      <c r="K161" s="14" t="str">
        <f t="shared" si="13"/>
        <v>Jan-2025</v>
      </c>
      <c r="L161" s="24">
        <f t="shared" ca="1" si="14"/>
        <v>46282.435960995368</v>
      </c>
    </row>
    <row r="162" spans="1:12" ht="15.75" customHeight="1" x14ac:dyDescent="0.3">
      <c r="A162" s="15" t="s">
        <v>71</v>
      </c>
      <c r="B162" s="15" t="s">
        <v>54</v>
      </c>
      <c r="C162" s="15" t="s">
        <v>25</v>
      </c>
      <c r="D162" s="15" t="s">
        <v>16</v>
      </c>
      <c r="E162" s="15">
        <v>1622.62</v>
      </c>
      <c r="F162" s="15">
        <v>12</v>
      </c>
      <c r="G162" s="15">
        <v>0.2</v>
      </c>
      <c r="H162" s="16">
        <v>45677</v>
      </c>
      <c r="I162" s="15">
        <v>649.04999999999995</v>
      </c>
      <c r="J162" s="14">
        <f t="shared" ref="J162:J193" si="15">SUMIF(B:B,B162,E:E)</f>
        <v>7522.77</v>
      </c>
      <c r="K162" s="14" t="str">
        <f t="shared" ref="K162:K193" si="16">TEXT(H162,"MMM-YYYY")</f>
        <v>Jan-2025</v>
      </c>
      <c r="L162" s="24">
        <f t="shared" ref="L162:L193" ca="1" si="17">NOW()</f>
        <v>46282.435960995368</v>
      </c>
    </row>
    <row r="163" spans="1:12" ht="15.75" customHeight="1" x14ac:dyDescent="0.3">
      <c r="A163" s="15" t="s">
        <v>76</v>
      </c>
      <c r="B163" s="15" t="s">
        <v>49</v>
      </c>
      <c r="C163" s="15" t="s">
        <v>25</v>
      </c>
      <c r="D163" s="15" t="s">
        <v>13</v>
      </c>
      <c r="E163" s="15">
        <v>640.64</v>
      </c>
      <c r="F163" s="15">
        <v>11</v>
      </c>
      <c r="G163" s="15">
        <v>0.2</v>
      </c>
      <c r="H163" s="16">
        <v>45678</v>
      </c>
      <c r="I163" s="15">
        <v>205</v>
      </c>
      <c r="J163" s="14">
        <f t="shared" si="15"/>
        <v>8090.12</v>
      </c>
      <c r="K163" s="14" t="str">
        <f t="shared" si="16"/>
        <v>Jan-2025</v>
      </c>
      <c r="L163" s="24">
        <f t="shared" ca="1" si="17"/>
        <v>46282.435960995368</v>
      </c>
    </row>
    <row r="164" spans="1:12" ht="15.75" customHeight="1" x14ac:dyDescent="0.3">
      <c r="A164" s="15" t="s">
        <v>23</v>
      </c>
      <c r="B164" s="15" t="s">
        <v>44</v>
      </c>
      <c r="C164" s="15" t="s">
        <v>12</v>
      </c>
      <c r="D164" s="15" t="s">
        <v>16</v>
      </c>
      <c r="E164" s="15">
        <v>585.16</v>
      </c>
      <c r="F164" s="15">
        <v>17</v>
      </c>
      <c r="G164" s="15">
        <v>0.1</v>
      </c>
      <c r="H164" s="16">
        <v>45684</v>
      </c>
      <c r="I164" s="15">
        <v>263.32</v>
      </c>
      <c r="J164" s="14">
        <f t="shared" si="15"/>
        <v>7296.1900000000005</v>
      </c>
      <c r="K164" s="14" t="str">
        <f t="shared" si="16"/>
        <v>Jan-2025</v>
      </c>
      <c r="L164" s="24">
        <f t="shared" ca="1" si="17"/>
        <v>46282.435960995368</v>
      </c>
    </row>
    <row r="165" spans="1:12" ht="15.75" customHeight="1" x14ac:dyDescent="0.3">
      <c r="A165" s="15" t="s">
        <v>23</v>
      </c>
      <c r="B165" s="15" t="s">
        <v>32</v>
      </c>
      <c r="C165" s="15" t="s">
        <v>19</v>
      </c>
      <c r="D165" s="15" t="s">
        <v>16</v>
      </c>
      <c r="E165" s="15">
        <v>1109.98</v>
      </c>
      <c r="F165" s="15">
        <v>5</v>
      </c>
      <c r="G165" s="15">
        <v>0.2</v>
      </c>
      <c r="H165" s="16">
        <v>45690</v>
      </c>
      <c r="I165" s="15">
        <v>443.99</v>
      </c>
      <c r="J165" s="14">
        <f t="shared" si="15"/>
        <v>17143.289999999997</v>
      </c>
      <c r="K165" s="14" t="str">
        <f t="shared" si="16"/>
        <v>Feb-2025</v>
      </c>
      <c r="L165" s="24">
        <f t="shared" ca="1" si="17"/>
        <v>46282.435960995368</v>
      </c>
    </row>
    <row r="166" spans="1:12" ht="15.75" customHeight="1" x14ac:dyDescent="0.3">
      <c r="A166" s="15" t="s">
        <v>59</v>
      </c>
      <c r="B166" s="15" t="s">
        <v>46</v>
      </c>
      <c r="C166" s="15" t="s">
        <v>19</v>
      </c>
      <c r="D166" s="15" t="s">
        <v>13</v>
      </c>
      <c r="E166" s="15">
        <v>1098.08</v>
      </c>
      <c r="F166" s="15">
        <v>9</v>
      </c>
      <c r="G166" s="15">
        <v>0.1</v>
      </c>
      <c r="H166" s="16">
        <v>45692</v>
      </c>
      <c r="I166" s="15">
        <v>395.31</v>
      </c>
      <c r="J166" s="14">
        <f t="shared" si="15"/>
        <v>8635.9500000000007</v>
      </c>
      <c r="K166" s="14" t="str">
        <f t="shared" si="16"/>
        <v>Feb-2025</v>
      </c>
      <c r="L166" s="24">
        <f t="shared" ca="1" si="17"/>
        <v>46282.435960995368</v>
      </c>
    </row>
    <row r="167" spans="1:12" ht="15.75" customHeight="1" x14ac:dyDescent="0.3">
      <c r="A167" s="15" t="s">
        <v>66</v>
      </c>
      <c r="B167" s="15" t="s">
        <v>49</v>
      </c>
      <c r="C167" s="15" t="s">
        <v>12</v>
      </c>
      <c r="D167" s="15" t="s">
        <v>40</v>
      </c>
      <c r="E167" s="15">
        <v>827.25</v>
      </c>
      <c r="F167" s="15">
        <v>7</v>
      </c>
      <c r="G167" s="15">
        <v>0.1</v>
      </c>
      <c r="H167" s="16">
        <v>45693</v>
      </c>
      <c r="I167" s="15">
        <v>335.04</v>
      </c>
      <c r="J167" s="14">
        <f t="shared" si="15"/>
        <v>8090.12</v>
      </c>
      <c r="K167" s="14" t="str">
        <f t="shared" si="16"/>
        <v>Feb-2025</v>
      </c>
      <c r="L167" s="24">
        <f t="shared" ca="1" si="17"/>
        <v>46282.435960995368</v>
      </c>
    </row>
    <row r="168" spans="1:12" ht="15.75" customHeight="1" x14ac:dyDescent="0.3">
      <c r="A168" s="15" t="s">
        <v>71</v>
      </c>
      <c r="B168" s="15" t="s">
        <v>30</v>
      </c>
      <c r="C168" s="15" t="s">
        <v>35</v>
      </c>
      <c r="D168" s="15" t="s">
        <v>16</v>
      </c>
      <c r="E168" s="15">
        <v>741.88</v>
      </c>
      <c r="F168" s="15">
        <v>16</v>
      </c>
      <c r="G168" s="15">
        <v>0.1</v>
      </c>
      <c r="H168" s="16">
        <v>45695</v>
      </c>
      <c r="I168" s="15">
        <v>333.85</v>
      </c>
      <c r="J168" s="14">
        <f t="shared" si="15"/>
        <v>9970.1999999999989</v>
      </c>
      <c r="K168" s="14" t="str">
        <f t="shared" si="16"/>
        <v>Feb-2025</v>
      </c>
      <c r="L168" s="24">
        <f t="shared" ca="1" si="17"/>
        <v>46282.435960995368</v>
      </c>
    </row>
    <row r="169" spans="1:12" ht="15.75" customHeight="1" x14ac:dyDescent="0.3">
      <c r="A169" s="15" t="s">
        <v>73</v>
      </c>
      <c r="B169" s="15" t="s">
        <v>11</v>
      </c>
      <c r="C169" s="15" t="s">
        <v>19</v>
      </c>
      <c r="D169" s="15" t="s">
        <v>40</v>
      </c>
      <c r="E169" s="15">
        <v>1311.26</v>
      </c>
      <c r="F169" s="15">
        <v>6</v>
      </c>
      <c r="G169" s="15">
        <v>0.1</v>
      </c>
      <c r="H169" s="16">
        <v>45698</v>
      </c>
      <c r="I169" s="15">
        <v>531.05999999999995</v>
      </c>
      <c r="J169" s="14">
        <f t="shared" si="15"/>
        <v>6255.7</v>
      </c>
      <c r="K169" s="14" t="str">
        <f t="shared" si="16"/>
        <v>Feb-2025</v>
      </c>
      <c r="L169" s="24">
        <f t="shared" ca="1" si="17"/>
        <v>46282.435960995368</v>
      </c>
    </row>
    <row r="170" spans="1:12" ht="15.75" customHeight="1" x14ac:dyDescent="0.3">
      <c r="A170" s="15" t="s">
        <v>73</v>
      </c>
      <c r="B170" s="15" t="s">
        <v>32</v>
      </c>
      <c r="C170" s="15" t="s">
        <v>21</v>
      </c>
      <c r="D170" s="15" t="s">
        <v>40</v>
      </c>
      <c r="E170" s="15">
        <v>573.32000000000005</v>
      </c>
      <c r="F170" s="15">
        <v>19</v>
      </c>
      <c r="G170" s="15">
        <v>0.1</v>
      </c>
      <c r="H170" s="16">
        <v>45703</v>
      </c>
      <c r="I170" s="15">
        <v>232.19</v>
      </c>
      <c r="J170" s="14">
        <f t="shared" si="15"/>
        <v>17143.289999999997</v>
      </c>
      <c r="K170" s="14" t="str">
        <f t="shared" si="16"/>
        <v>Feb-2025</v>
      </c>
      <c r="L170" s="24">
        <f t="shared" ca="1" si="17"/>
        <v>46282.435960995368</v>
      </c>
    </row>
    <row r="171" spans="1:12" ht="15.75" customHeight="1" x14ac:dyDescent="0.3">
      <c r="A171" s="15" t="s">
        <v>53</v>
      </c>
      <c r="B171" s="15" t="s">
        <v>24</v>
      </c>
      <c r="C171" s="15" t="s">
        <v>12</v>
      </c>
      <c r="D171" s="15" t="s">
        <v>22</v>
      </c>
      <c r="E171" s="15">
        <v>1115.22</v>
      </c>
      <c r="F171" s="15">
        <v>14</v>
      </c>
      <c r="G171" s="15">
        <v>0.2</v>
      </c>
      <c r="H171" s="16">
        <v>45705</v>
      </c>
      <c r="I171" s="15">
        <v>223.04</v>
      </c>
      <c r="J171" s="14">
        <f t="shared" si="15"/>
        <v>20774.739999999998</v>
      </c>
      <c r="K171" s="14" t="str">
        <f t="shared" si="16"/>
        <v>Feb-2025</v>
      </c>
      <c r="L171" s="24">
        <f t="shared" ca="1" si="17"/>
        <v>46282.435960995368</v>
      </c>
    </row>
    <row r="172" spans="1:12" ht="15.75" customHeight="1" x14ac:dyDescent="0.3">
      <c r="A172" s="15" t="s">
        <v>14</v>
      </c>
      <c r="B172" s="15" t="s">
        <v>46</v>
      </c>
      <c r="C172" s="15" t="s">
        <v>25</v>
      </c>
      <c r="D172" s="15" t="s">
        <v>16</v>
      </c>
      <c r="E172" s="15">
        <v>845.84</v>
      </c>
      <c r="F172" s="15">
        <v>4</v>
      </c>
      <c r="G172" s="15">
        <v>0</v>
      </c>
      <c r="H172" s="16">
        <v>45707</v>
      </c>
      <c r="I172" s="15">
        <v>422.92</v>
      </c>
      <c r="J172" s="14">
        <f t="shared" si="15"/>
        <v>8635.9500000000007</v>
      </c>
      <c r="K172" s="14" t="str">
        <f t="shared" si="16"/>
        <v>Feb-2025</v>
      </c>
      <c r="L172" s="24">
        <f t="shared" ca="1" si="17"/>
        <v>46282.435960995368</v>
      </c>
    </row>
    <row r="173" spans="1:12" ht="15.75" customHeight="1" x14ac:dyDescent="0.3">
      <c r="A173" s="15" t="s">
        <v>31</v>
      </c>
      <c r="B173" s="15" t="s">
        <v>56</v>
      </c>
      <c r="C173" s="15" t="s">
        <v>12</v>
      </c>
      <c r="D173" s="15" t="s">
        <v>22</v>
      </c>
      <c r="E173" s="15">
        <v>1029.8</v>
      </c>
      <c r="F173" s="15">
        <v>3</v>
      </c>
      <c r="G173" s="15">
        <v>0</v>
      </c>
      <c r="H173" s="16">
        <v>45708</v>
      </c>
      <c r="I173" s="15">
        <v>257.45</v>
      </c>
      <c r="J173" s="14">
        <f t="shared" si="15"/>
        <v>11915.829999999998</v>
      </c>
      <c r="K173" s="14" t="str">
        <f t="shared" si="16"/>
        <v>Feb-2025</v>
      </c>
      <c r="L173" s="24">
        <f t="shared" ca="1" si="17"/>
        <v>46282.435960995368</v>
      </c>
    </row>
    <row r="174" spans="1:12" ht="15.75" customHeight="1" x14ac:dyDescent="0.3">
      <c r="A174" s="15" t="s">
        <v>33</v>
      </c>
      <c r="B174" s="15" t="s">
        <v>32</v>
      </c>
      <c r="C174" s="15" t="s">
        <v>25</v>
      </c>
      <c r="D174" s="15" t="s">
        <v>13</v>
      </c>
      <c r="E174" s="15">
        <v>1189.83</v>
      </c>
      <c r="F174" s="15">
        <v>2</v>
      </c>
      <c r="G174" s="15">
        <v>0.2</v>
      </c>
      <c r="H174" s="16">
        <v>45709</v>
      </c>
      <c r="I174" s="15">
        <v>380.75</v>
      </c>
      <c r="J174" s="14">
        <f t="shared" si="15"/>
        <v>17143.289999999997</v>
      </c>
      <c r="K174" s="14" t="str">
        <f t="shared" si="16"/>
        <v>Feb-2025</v>
      </c>
      <c r="L174" s="24">
        <f t="shared" ca="1" si="17"/>
        <v>46282.435960995368</v>
      </c>
    </row>
    <row r="175" spans="1:12" ht="15.75" customHeight="1" x14ac:dyDescent="0.3">
      <c r="A175" s="15" t="s">
        <v>68</v>
      </c>
      <c r="B175" s="15" t="s">
        <v>44</v>
      </c>
      <c r="C175" s="15" t="s">
        <v>21</v>
      </c>
      <c r="D175" s="15" t="s">
        <v>13</v>
      </c>
      <c r="E175" s="15">
        <v>704.28</v>
      </c>
      <c r="F175" s="15">
        <v>15</v>
      </c>
      <c r="G175" s="15">
        <v>0.2</v>
      </c>
      <c r="H175" s="16">
        <v>45712</v>
      </c>
      <c r="I175" s="15">
        <v>225.37</v>
      </c>
      <c r="J175" s="14">
        <f t="shared" si="15"/>
        <v>7296.1900000000005</v>
      </c>
      <c r="K175" s="14" t="str">
        <f t="shared" si="16"/>
        <v>Feb-2025</v>
      </c>
      <c r="L175" s="24">
        <f t="shared" ca="1" si="17"/>
        <v>46282.435960995368</v>
      </c>
    </row>
    <row r="176" spans="1:12" ht="15.75" customHeight="1" x14ac:dyDescent="0.3">
      <c r="A176" s="15" t="s">
        <v>66</v>
      </c>
      <c r="B176" s="15" t="s">
        <v>48</v>
      </c>
      <c r="C176" s="15" t="s">
        <v>35</v>
      </c>
      <c r="D176" s="15" t="s">
        <v>40</v>
      </c>
      <c r="E176" s="15">
        <v>1618.22</v>
      </c>
      <c r="F176" s="15">
        <v>12</v>
      </c>
      <c r="G176" s="15">
        <v>0.2</v>
      </c>
      <c r="H176" s="16">
        <v>45712</v>
      </c>
      <c r="I176" s="15">
        <v>582.55999999999995</v>
      </c>
      <c r="J176" s="14">
        <f t="shared" si="15"/>
        <v>7251.18</v>
      </c>
      <c r="K176" s="14" t="str">
        <f t="shared" si="16"/>
        <v>Feb-2025</v>
      </c>
      <c r="L176" s="24">
        <f t="shared" ca="1" si="17"/>
        <v>46282.435960995368</v>
      </c>
    </row>
    <row r="177" spans="1:12" ht="15.75" customHeight="1" x14ac:dyDescent="0.3">
      <c r="A177" s="15" t="s">
        <v>74</v>
      </c>
      <c r="B177" s="15" t="s">
        <v>54</v>
      </c>
      <c r="C177" s="15" t="s">
        <v>35</v>
      </c>
      <c r="D177" s="15" t="s">
        <v>13</v>
      </c>
      <c r="E177" s="15">
        <v>1014.43</v>
      </c>
      <c r="F177" s="15">
        <v>2</v>
      </c>
      <c r="G177" s="15">
        <v>0.15</v>
      </c>
      <c r="H177" s="16">
        <v>45713</v>
      </c>
      <c r="I177" s="15">
        <v>344.91</v>
      </c>
      <c r="J177" s="14">
        <f t="shared" si="15"/>
        <v>7522.77</v>
      </c>
      <c r="K177" s="14" t="str">
        <f t="shared" si="16"/>
        <v>Feb-2025</v>
      </c>
      <c r="L177" s="24">
        <f t="shared" ca="1" si="17"/>
        <v>46282.435960995368</v>
      </c>
    </row>
    <row r="178" spans="1:12" ht="15.75" customHeight="1" x14ac:dyDescent="0.3">
      <c r="A178" s="15" t="s">
        <v>76</v>
      </c>
      <c r="B178" s="15" t="s">
        <v>32</v>
      </c>
      <c r="C178" s="15" t="s">
        <v>35</v>
      </c>
      <c r="D178" s="15" t="s">
        <v>16</v>
      </c>
      <c r="E178" s="15">
        <v>826.97</v>
      </c>
      <c r="F178" s="15">
        <v>18</v>
      </c>
      <c r="G178" s="15">
        <v>0.2</v>
      </c>
      <c r="H178" s="16">
        <v>45715</v>
      </c>
      <c r="I178" s="15">
        <v>330.79</v>
      </c>
      <c r="J178" s="14">
        <f t="shared" si="15"/>
        <v>17143.289999999997</v>
      </c>
      <c r="K178" s="14" t="str">
        <f t="shared" si="16"/>
        <v>Feb-2025</v>
      </c>
      <c r="L178" s="24">
        <f t="shared" ca="1" si="17"/>
        <v>46282.435960995368</v>
      </c>
    </row>
    <row r="179" spans="1:12" ht="15.75" customHeight="1" x14ac:dyDescent="0.3">
      <c r="A179" s="15" t="s">
        <v>17</v>
      </c>
      <c r="B179" s="15" t="s">
        <v>32</v>
      </c>
      <c r="C179" s="15" t="s">
        <v>35</v>
      </c>
      <c r="D179" s="15" t="s">
        <v>16</v>
      </c>
      <c r="E179" s="15">
        <v>1022.23</v>
      </c>
      <c r="F179" s="15">
        <v>8</v>
      </c>
      <c r="G179" s="15">
        <v>0.1</v>
      </c>
      <c r="H179" s="16">
        <v>45717</v>
      </c>
      <c r="I179" s="15">
        <v>460</v>
      </c>
      <c r="J179" s="14">
        <f t="shared" si="15"/>
        <v>17143.289999999997</v>
      </c>
      <c r="K179" s="14" t="str">
        <f t="shared" si="16"/>
        <v>Mar-2025</v>
      </c>
      <c r="L179" s="24">
        <f t="shared" ca="1" si="17"/>
        <v>46282.435960995368</v>
      </c>
    </row>
    <row r="180" spans="1:12" ht="15.75" customHeight="1" x14ac:dyDescent="0.3">
      <c r="A180" s="15" t="s">
        <v>73</v>
      </c>
      <c r="B180" s="15" t="s">
        <v>30</v>
      </c>
      <c r="C180" s="15" t="s">
        <v>19</v>
      </c>
      <c r="D180" s="15" t="s">
        <v>13</v>
      </c>
      <c r="E180" s="15">
        <v>1099.69</v>
      </c>
      <c r="F180" s="15">
        <v>6</v>
      </c>
      <c r="G180" s="15">
        <v>0</v>
      </c>
      <c r="H180" s="16">
        <v>45718</v>
      </c>
      <c r="I180" s="15">
        <v>439.88</v>
      </c>
      <c r="J180" s="14">
        <f t="shared" si="15"/>
        <v>9970.1999999999989</v>
      </c>
      <c r="K180" s="14" t="str">
        <f t="shared" si="16"/>
        <v>Mar-2025</v>
      </c>
      <c r="L180" s="24">
        <f t="shared" ca="1" si="17"/>
        <v>46282.435960995368</v>
      </c>
    </row>
    <row r="181" spans="1:12" ht="15.75" customHeight="1" x14ac:dyDescent="0.3">
      <c r="A181" s="15" t="s">
        <v>53</v>
      </c>
      <c r="B181" s="15" t="s">
        <v>65</v>
      </c>
      <c r="C181" s="15" t="s">
        <v>25</v>
      </c>
      <c r="D181" s="15" t="s">
        <v>13</v>
      </c>
      <c r="E181" s="15">
        <v>710.52</v>
      </c>
      <c r="F181" s="15">
        <v>8</v>
      </c>
      <c r="G181" s="15">
        <v>0.1</v>
      </c>
      <c r="H181" s="16">
        <v>45721</v>
      </c>
      <c r="I181" s="15">
        <v>255.79</v>
      </c>
      <c r="J181" s="14">
        <f t="shared" si="15"/>
        <v>5771.59</v>
      </c>
      <c r="K181" s="14" t="str">
        <f t="shared" si="16"/>
        <v>Mar-2025</v>
      </c>
      <c r="L181" s="24">
        <f t="shared" ca="1" si="17"/>
        <v>46282.435960995368</v>
      </c>
    </row>
    <row r="182" spans="1:12" ht="15.75" customHeight="1" x14ac:dyDescent="0.3">
      <c r="A182" s="15" t="s">
        <v>53</v>
      </c>
      <c r="B182" s="15" t="s">
        <v>60</v>
      </c>
      <c r="C182" s="15" t="s">
        <v>25</v>
      </c>
      <c r="D182" s="15" t="s">
        <v>13</v>
      </c>
      <c r="E182" s="15">
        <v>499.18</v>
      </c>
      <c r="F182" s="15">
        <v>15</v>
      </c>
      <c r="G182" s="15">
        <v>0.2</v>
      </c>
      <c r="H182" s="16">
        <v>45724</v>
      </c>
      <c r="I182" s="15">
        <v>159.74</v>
      </c>
      <c r="J182" s="14">
        <f t="shared" si="15"/>
        <v>5443.34</v>
      </c>
      <c r="K182" s="14" t="str">
        <f t="shared" si="16"/>
        <v>Mar-2025</v>
      </c>
      <c r="L182" s="24">
        <f t="shared" ca="1" si="17"/>
        <v>46282.435960995368</v>
      </c>
    </row>
    <row r="183" spans="1:12" ht="15.75" customHeight="1" x14ac:dyDescent="0.3">
      <c r="A183" s="15" t="s">
        <v>38</v>
      </c>
      <c r="B183" s="15" t="s">
        <v>39</v>
      </c>
      <c r="C183" s="15" t="s">
        <v>21</v>
      </c>
      <c r="D183" s="15" t="s">
        <v>13</v>
      </c>
      <c r="E183" s="15">
        <v>1064.19</v>
      </c>
      <c r="F183" s="15">
        <v>18</v>
      </c>
      <c r="G183" s="15">
        <v>0.05</v>
      </c>
      <c r="H183" s="16">
        <v>45725</v>
      </c>
      <c r="I183" s="15">
        <v>404.39</v>
      </c>
      <c r="J183" s="14">
        <f t="shared" si="15"/>
        <v>11398.32</v>
      </c>
      <c r="K183" s="14" t="str">
        <f t="shared" si="16"/>
        <v>Mar-2025</v>
      </c>
      <c r="L183" s="24">
        <f t="shared" ca="1" si="17"/>
        <v>46282.435960995368</v>
      </c>
    </row>
    <row r="184" spans="1:12" ht="15.75" customHeight="1" x14ac:dyDescent="0.3">
      <c r="A184" s="15" t="s">
        <v>68</v>
      </c>
      <c r="B184" s="15" t="s">
        <v>39</v>
      </c>
      <c r="C184" s="15" t="s">
        <v>19</v>
      </c>
      <c r="D184" s="15" t="s">
        <v>40</v>
      </c>
      <c r="E184" s="15">
        <v>438.76</v>
      </c>
      <c r="F184" s="15">
        <v>18</v>
      </c>
      <c r="G184" s="15">
        <v>0.05</v>
      </c>
      <c r="H184" s="16">
        <v>45726</v>
      </c>
      <c r="I184" s="15">
        <v>187.57</v>
      </c>
      <c r="J184" s="14">
        <f t="shared" si="15"/>
        <v>11398.32</v>
      </c>
      <c r="K184" s="14" t="str">
        <f t="shared" si="16"/>
        <v>Mar-2025</v>
      </c>
      <c r="L184" s="24">
        <f t="shared" ca="1" si="17"/>
        <v>46282.435960995368</v>
      </c>
    </row>
    <row r="185" spans="1:12" ht="15.75" customHeight="1" x14ac:dyDescent="0.3">
      <c r="A185" s="15" t="s">
        <v>42</v>
      </c>
      <c r="B185" s="15" t="s">
        <v>56</v>
      </c>
      <c r="C185" s="15" t="s">
        <v>12</v>
      </c>
      <c r="D185" s="15" t="s">
        <v>16</v>
      </c>
      <c r="E185" s="15">
        <v>864.98</v>
      </c>
      <c r="F185" s="15">
        <v>2</v>
      </c>
      <c r="G185" s="15">
        <v>0.05</v>
      </c>
      <c r="H185" s="16">
        <v>45727</v>
      </c>
      <c r="I185" s="15">
        <v>410.87</v>
      </c>
      <c r="J185" s="14">
        <f t="shared" si="15"/>
        <v>11915.829999999998</v>
      </c>
      <c r="K185" s="14" t="str">
        <f t="shared" si="16"/>
        <v>Mar-2025</v>
      </c>
      <c r="L185" s="24">
        <f t="shared" ca="1" si="17"/>
        <v>46282.435960995368</v>
      </c>
    </row>
    <row r="186" spans="1:12" ht="15.75" customHeight="1" x14ac:dyDescent="0.3">
      <c r="A186" s="15" t="s">
        <v>58</v>
      </c>
      <c r="B186" s="15" t="s">
        <v>56</v>
      </c>
      <c r="C186" s="15" t="s">
        <v>12</v>
      </c>
      <c r="D186" s="15" t="s">
        <v>28</v>
      </c>
      <c r="E186" s="15">
        <v>984.93</v>
      </c>
      <c r="F186" s="15">
        <v>14</v>
      </c>
      <c r="G186" s="15">
        <v>0.2</v>
      </c>
      <c r="H186" s="16">
        <v>45733</v>
      </c>
      <c r="I186" s="15">
        <v>275.77999999999997</v>
      </c>
      <c r="J186" s="14">
        <f t="shared" si="15"/>
        <v>11915.829999999998</v>
      </c>
      <c r="K186" s="14" t="str">
        <f t="shared" si="16"/>
        <v>Mar-2025</v>
      </c>
      <c r="L186" s="24">
        <f t="shared" ca="1" si="17"/>
        <v>46282.435960995368</v>
      </c>
    </row>
    <row r="187" spans="1:12" ht="15.75" customHeight="1" x14ac:dyDescent="0.3">
      <c r="A187" s="15" t="s">
        <v>26</v>
      </c>
      <c r="B187" s="15" t="s">
        <v>56</v>
      </c>
      <c r="C187" s="15" t="s">
        <v>12</v>
      </c>
      <c r="D187" s="15" t="s">
        <v>16</v>
      </c>
      <c r="E187" s="15">
        <v>1493.49</v>
      </c>
      <c r="F187" s="15">
        <v>18</v>
      </c>
      <c r="G187" s="15">
        <v>0</v>
      </c>
      <c r="H187" s="16">
        <v>45734</v>
      </c>
      <c r="I187" s="15">
        <v>746.74</v>
      </c>
      <c r="J187" s="14">
        <f t="shared" si="15"/>
        <v>11915.829999999998</v>
      </c>
      <c r="K187" s="14" t="str">
        <f t="shared" si="16"/>
        <v>Mar-2025</v>
      </c>
      <c r="L187" s="24">
        <f t="shared" ca="1" si="17"/>
        <v>46282.435960995368</v>
      </c>
    </row>
    <row r="188" spans="1:12" ht="15.75" customHeight="1" x14ac:dyDescent="0.3">
      <c r="A188" s="15" t="s">
        <v>33</v>
      </c>
      <c r="B188" s="15" t="s">
        <v>54</v>
      </c>
      <c r="C188" s="15" t="s">
        <v>21</v>
      </c>
      <c r="D188" s="15" t="s">
        <v>16</v>
      </c>
      <c r="E188" s="15">
        <v>689.43</v>
      </c>
      <c r="F188" s="15">
        <v>9</v>
      </c>
      <c r="G188" s="15">
        <v>0.1</v>
      </c>
      <c r="H188" s="16">
        <v>45736</v>
      </c>
      <c r="I188" s="15">
        <v>310.24</v>
      </c>
      <c r="J188" s="14">
        <f t="shared" si="15"/>
        <v>7522.77</v>
      </c>
      <c r="K188" s="14" t="str">
        <f t="shared" si="16"/>
        <v>Mar-2025</v>
      </c>
      <c r="L188" s="24">
        <f t="shared" ca="1" si="17"/>
        <v>46282.435960995368</v>
      </c>
    </row>
    <row r="189" spans="1:12" ht="15.75" customHeight="1" x14ac:dyDescent="0.3">
      <c r="A189" s="15" t="s">
        <v>41</v>
      </c>
      <c r="B189" s="15" t="s">
        <v>60</v>
      </c>
      <c r="C189" s="15" t="s">
        <v>21</v>
      </c>
      <c r="D189" s="15" t="s">
        <v>16</v>
      </c>
      <c r="E189" s="15">
        <v>682.24</v>
      </c>
      <c r="F189" s="15">
        <v>1</v>
      </c>
      <c r="G189" s="15">
        <v>0</v>
      </c>
      <c r="H189" s="16">
        <v>45738</v>
      </c>
      <c r="I189" s="15">
        <v>341.12</v>
      </c>
      <c r="J189" s="14">
        <f t="shared" si="15"/>
        <v>5443.34</v>
      </c>
      <c r="K189" s="14" t="str">
        <f t="shared" si="16"/>
        <v>Mar-2025</v>
      </c>
      <c r="L189" s="24">
        <f t="shared" ca="1" si="17"/>
        <v>46282.435960995368</v>
      </c>
    </row>
    <row r="190" spans="1:12" ht="15.75" customHeight="1" x14ac:dyDescent="0.3">
      <c r="A190" s="15" t="s">
        <v>42</v>
      </c>
      <c r="B190" s="15" t="s">
        <v>27</v>
      </c>
      <c r="C190" s="15" t="s">
        <v>25</v>
      </c>
      <c r="D190" s="15" t="s">
        <v>22</v>
      </c>
      <c r="E190" s="15">
        <v>458.54</v>
      </c>
      <c r="F190" s="15">
        <v>15</v>
      </c>
      <c r="G190" s="15">
        <v>0.2</v>
      </c>
      <c r="H190" s="16">
        <v>45741</v>
      </c>
      <c r="I190" s="15">
        <v>91.71</v>
      </c>
      <c r="J190" s="14">
        <f t="shared" si="15"/>
        <v>7881.9</v>
      </c>
      <c r="K190" s="14" t="str">
        <f t="shared" si="16"/>
        <v>Mar-2025</v>
      </c>
      <c r="L190" s="24">
        <f t="shared" ca="1" si="17"/>
        <v>46282.435960995368</v>
      </c>
    </row>
    <row r="191" spans="1:12" ht="15.75" customHeight="1" x14ac:dyDescent="0.3">
      <c r="A191" s="15" t="s">
        <v>33</v>
      </c>
      <c r="B191" s="15" t="s">
        <v>27</v>
      </c>
      <c r="C191" s="15" t="s">
        <v>21</v>
      </c>
      <c r="D191" s="15" t="s">
        <v>28</v>
      </c>
      <c r="E191" s="15">
        <v>1184.25</v>
      </c>
      <c r="F191" s="15">
        <v>11</v>
      </c>
      <c r="G191" s="15">
        <v>0.2</v>
      </c>
      <c r="H191" s="16">
        <v>45742</v>
      </c>
      <c r="I191" s="15">
        <v>331.59</v>
      </c>
      <c r="J191" s="14">
        <f t="shared" si="15"/>
        <v>7881.9</v>
      </c>
      <c r="K191" s="14" t="str">
        <f t="shared" si="16"/>
        <v>Mar-2025</v>
      </c>
      <c r="L191" s="24">
        <f t="shared" ca="1" si="17"/>
        <v>46282.435960995368</v>
      </c>
    </row>
    <row r="192" spans="1:12" ht="15.75" customHeight="1" x14ac:dyDescent="0.3">
      <c r="A192" s="15" t="s">
        <v>26</v>
      </c>
      <c r="B192" s="15" t="s">
        <v>11</v>
      </c>
      <c r="C192" s="15" t="s">
        <v>21</v>
      </c>
      <c r="D192" s="15" t="s">
        <v>16</v>
      </c>
      <c r="E192" s="15">
        <v>762.14</v>
      </c>
      <c r="F192" s="15">
        <v>9</v>
      </c>
      <c r="G192" s="15">
        <v>0</v>
      </c>
      <c r="H192" s="16">
        <v>45743</v>
      </c>
      <c r="I192" s="15">
        <v>381.07</v>
      </c>
      <c r="J192" s="14">
        <f t="shared" si="15"/>
        <v>6255.7</v>
      </c>
      <c r="K192" s="14" t="str">
        <f t="shared" si="16"/>
        <v>Mar-2025</v>
      </c>
      <c r="L192" s="24">
        <f t="shared" ca="1" si="17"/>
        <v>46282.435960995368</v>
      </c>
    </row>
    <row r="193" spans="1:12" ht="15.75" customHeight="1" x14ac:dyDescent="0.3">
      <c r="A193" s="15" t="s">
        <v>23</v>
      </c>
      <c r="B193" s="15" t="s">
        <v>54</v>
      </c>
      <c r="C193" s="15" t="s">
        <v>25</v>
      </c>
      <c r="D193" s="15" t="s">
        <v>13</v>
      </c>
      <c r="E193" s="15">
        <v>750.71</v>
      </c>
      <c r="F193" s="15">
        <v>10</v>
      </c>
      <c r="G193" s="15">
        <v>0.15</v>
      </c>
      <c r="H193" s="16">
        <v>45743</v>
      </c>
      <c r="I193" s="15">
        <v>255.24</v>
      </c>
      <c r="J193" s="14">
        <f t="shared" si="15"/>
        <v>7522.77</v>
      </c>
      <c r="K193" s="14" t="str">
        <f t="shared" si="16"/>
        <v>Mar-2025</v>
      </c>
      <c r="L193" s="24">
        <f t="shared" ca="1" si="17"/>
        <v>46282.435960995368</v>
      </c>
    </row>
    <row r="194" spans="1:12" ht="15.75" customHeight="1" x14ac:dyDescent="0.3">
      <c r="A194" s="15" t="s">
        <v>76</v>
      </c>
      <c r="B194" s="15" t="s">
        <v>72</v>
      </c>
      <c r="C194" s="15" t="s">
        <v>35</v>
      </c>
      <c r="D194" s="15" t="s">
        <v>16</v>
      </c>
      <c r="E194" s="15">
        <v>1456.94</v>
      </c>
      <c r="F194" s="15">
        <v>14</v>
      </c>
      <c r="G194" s="15">
        <v>0.05</v>
      </c>
      <c r="H194" s="16">
        <v>45745</v>
      </c>
      <c r="I194" s="15">
        <v>692.05</v>
      </c>
      <c r="J194" s="14">
        <f t="shared" ref="J194:J201" si="18">SUMIF(B:B,B194,E:E)</f>
        <v>5465.71</v>
      </c>
      <c r="K194" s="14" t="str">
        <f t="shared" ref="K194:K201" si="19">TEXT(H194,"MMM-YYYY")</f>
        <v>Mar-2025</v>
      </c>
      <c r="L194" s="24">
        <f t="shared" ref="L194:L201" ca="1" si="20">NOW()</f>
        <v>46282.435960995368</v>
      </c>
    </row>
    <row r="195" spans="1:12" ht="15.75" customHeight="1" x14ac:dyDescent="0.3">
      <c r="A195" s="15" t="s">
        <v>45</v>
      </c>
      <c r="B195" s="15" t="s">
        <v>62</v>
      </c>
      <c r="C195" s="15" t="s">
        <v>19</v>
      </c>
      <c r="D195" s="15" t="s">
        <v>28</v>
      </c>
      <c r="E195" s="15">
        <v>1093.3800000000001</v>
      </c>
      <c r="F195" s="15">
        <v>17</v>
      </c>
      <c r="G195" s="15">
        <v>0.1</v>
      </c>
      <c r="H195" s="16">
        <v>45745</v>
      </c>
      <c r="I195" s="15">
        <v>344.41</v>
      </c>
      <c r="J195" s="14">
        <f t="shared" si="18"/>
        <v>8543.9699999999993</v>
      </c>
      <c r="K195" s="14" t="str">
        <f t="shared" si="19"/>
        <v>Mar-2025</v>
      </c>
      <c r="L195" s="24">
        <f t="shared" ca="1" si="20"/>
        <v>46282.435960995368</v>
      </c>
    </row>
    <row r="196" spans="1:12" ht="15.75" customHeight="1" x14ac:dyDescent="0.3">
      <c r="A196" s="15" t="s">
        <v>38</v>
      </c>
      <c r="B196" s="15" t="s">
        <v>44</v>
      </c>
      <c r="C196" s="15" t="s">
        <v>12</v>
      </c>
      <c r="D196" s="15" t="s">
        <v>16</v>
      </c>
      <c r="E196" s="15">
        <v>934.27</v>
      </c>
      <c r="F196" s="15">
        <v>8</v>
      </c>
      <c r="G196" s="15">
        <v>0.15</v>
      </c>
      <c r="H196" s="16">
        <v>45746</v>
      </c>
      <c r="I196" s="15">
        <v>397.06</v>
      </c>
      <c r="J196" s="14">
        <f t="shared" si="18"/>
        <v>7296.1900000000005</v>
      </c>
      <c r="K196" s="14" t="str">
        <f t="shared" si="19"/>
        <v>Mar-2025</v>
      </c>
      <c r="L196" s="24">
        <f t="shared" ca="1" si="20"/>
        <v>46282.435960995368</v>
      </c>
    </row>
    <row r="197" spans="1:12" ht="15.75" customHeight="1" x14ac:dyDescent="0.3">
      <c r="A197" s="15" t="s">
        <v>71</v>
      </c>
      <c r="B197" s="15" t="s">
        <v>37</v>
      </c>
      <c r="C197" s="15" t="s">
        <v>35</v>
      </c>
      <c r="D197" s="15" t="s">
        <v>16</v>
      </c>
      <c r="E197" s="15">
        <v>1465.35</v>
      </c>
      <c r="F197" s="15">
        <v>8</v>
      </c>
      <c r="G197" s="15">
        <v>0.2</v>
      </c>
      <c r="H197" s="16">
        <v>45746</v>
      </c>
      <c r="I197" s="15">
        <v>586.14</v>
      </c>
      <c r="J197" s="14">
        <f t="shared" si="18"/>
        <v>7020.3799999999992</v>
      </c>
      <c r="K197" s="14" t="str">
        <f t="shared" si="19"/>
        <v>Mar-2025</v>
      </c>
      <c r="L197" s="24">
        <f t="shared" ca="1" si="20"/>
        <v>46282.435960995368</v>
      </c>
    </row>
    <row r="198" spans="1:12" ht="15.75" customHeight="1" x14ac:dyDescent="0.3">
      <c r="A198" s="15" t="s">
        <v>53</v>
      </c>
      <c r="B198" s="15" t="s">
        <v>15</v>
      </c>
      <c r="C198" s="15" t="s">
        <v>21</v>
      </c>
      <c r="D198" s="15" t="s">
        <v>40</v>
      </c>
      <c r="E198" s="15">
        <v>740.8</v>
      </c>
      <c r="F198" s="15">
        <v>3</v>
      </c>
      <c r="G198" s="15">
        <v>0</v>
      </c>
      <c r="H198" s="16">
        <v>45749</v>
      </c>
      <c r="I198" s="15">
        <v>333.36</v>
      </c>
      <c r="J198" s="14">
        <f t="shared" si="18"/>
        <v>8331.8499999999985</v>
      </c>
      <c r="K198" s="14" t="str">
        <f t="shared" si="19"/>
        <v>Apr-2025</v>
      </c>
      <c r="L198" s="24">
        <f t="shared" ca="1" si="20"/>
        <v>46282.435960995368</v>
      </c>
    </row>
    <row r="199" spans="1:12" ht="15.75" customHeight="1" x14ac:dyDescent="0.3">
      <c r="A199" s="15" t="s">
        <v>59</v>
      </c>
      <c r="B199" s="15" t="s">
        <v>44</v>
      </c>
      <c r="C199" s="15" t="s">
        <v>12</v>
      </c>
      <c r="D199" s="15" t="s">
        <v>40</v>
      </c>
      <c r="E199" s="15">
        <v>545.44000000000005</v>
      </c>
      <c r="F199" s="15">
        <v>17</v>
      </c>
      <c r="G199" s="15">
        <v>0</v>
      </c>
      <c r="H199" s="16">
        <v>45752</v>
      </c>
      <c r="I199" s="15">
        <v>245.45</v>
      </c>
      <c r="J199" s="14">
        <f t="shared" si="18"/>
        <v>7296.1900000000005</v>
      </c>
      <c r="K199" s="14" t="str">
        <f t="shared" si="19"/>
        <v>Apr-2025</v>
      </c>
      <c r="L199" s="24">
        <f t="shared" ca="1" si="20"/>
        <v>46282.435960995368</v>
      </c>
    </row>
    <row r="200" spans="1:12" ht="15.75" customHeight="1" x14ac:dyDescent="0.3">
      <c r="A200" s="15" t="s">
        <v>36</v>
      </c>
      <c r="B200" s="15" t="s">
        <v>37</v>
      </c>
      <c r="C200" s="15" t="s">
        <v>19</v>
      </c>
      <c r="D200" s="15" t="s">
        <v>13</v>
      </c>
      <c r="E200" s="15">
        <v>997.61</v>
      </c>
      <c r="F200" s="15">
        <v>8</v>
      </c>
      <c r="G200" s="15">
        <v>0.05</v>
      </c>
      <c r="H200" s="16">
        <v>45752</v>
      </c>
      <c r="I200" s="15">
        <v>379.09</v>
      </c>
      <c r="J200" s="14">
        <f t="shared" si="18"/>
        <v>7020.3799999999992</v>
      </c>
      <c r="K200" s="14" t="str">
        <f t="shared" si="19"/>
        <v>Apr-2025</v>
      </c>
      <c r="L200" s="24">
        <f t="shared" ca="1" si="20"/>
        <v>46282.435960995368</v>
      </c>
    </row>
    <row r="201" spans="1:12" ht="15.75" customHeight="1" x14ac:dyDescent="0.3">
      <c r="A201" s="15" t="s">
        <v>61</v>
      </c>
      <c r="B201" s="15" t="s">
        <v>37</v>
      </c>
      <c r="C201" s="15" t="s">
        <v>21</v>
      </c>
      <c r="D201" s="15" t="s">
        <v>16</v>
      </c>
      <c r="E201" s="15">
        <v>928.32</v>
      </c>
      <c r="F201" s="15">
        <v>2</v>
      </c>
      <c r="G201" s="15">
        <v>0.05</v>
      </c>
      <c r="H201" s="16">
        <v>45754</v>
      </c>
      <c r="I201" s="15">
        <v>440.95</v>
      </c>
      <c r="J201" s="14">
        <f t="shared" si="18"/>
        <v>7020.3799999999992</v>
      </c>
      <c r="K201" s="14" t="str">
        <f t="shared" si="19"/>
        <v>Apr-2025</v>
      </c>
      <c r="L201" s="24">
        <f t="shared" ca="1" si="20"/>
        <v>46282.435960995368</v>
      </c>
    </row>
    <row r="202" spans="1:12" ht="15.75" customHeight="1" x14ac:dyDescent="0.3"/>
    <row r="203" spans="1:12" ht="15.75" customHeight="1" x14ac:dyDescent="0.3"/>
    <row r="204" spans="1:12" ht="15.75" customHeight="1" x14ac:dyDescent="0.3"/>
    <row r="205" spans="1:12" ht="15.75" customHeight="1" x14ac:dyDescent="0.3"/>
    <row r="206" spans="1:12" ht="15.75" customHeight="1" x14ac:dyDescent="0.3"/>
    <row r="207" spans="1:12" ht="15.75" customHeight="1" x14ac:dyDescent="0.3"/>
    <row r="208" spans="1: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J1:J1048576">
    <cfRule type="top10" dxfId="0" priority="1" rank="10"/>
  </conditionalFormatting>
  <pageMargins left="0.75" right="0.75" top="1" bottom="1"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5B66-18A3-459D-AEC2-1F2B96706D72}">
  <dimension ref="A1:C15"/>
  <sheetViews>
    <sheetView workbookViewId="0">
      <selection activeCell="A4" sqref="A4:B37"/>
    </sheetView>
  </sheetViews>
  <sheetFormatPr defaultRowHeight="14.4" x14ac:dyDescent="0.3"/>
  <cols>
    <col min="1" max="1" width="11.21875" bestFit="1" customWidth="1"/>
    <col min="2" max="2" width="11.6640625" bestFit="1" customWidth="1"/>
    <col min="3" max="3" width="12.44140625" customWidth="1"/>
  </cols>
  <sheetData>
    <row r="1" spans="1:3" x14ac:dyDescent="0.3">
      <c r="A1" s="12" t="s">
        <v>118</v>
      </c>
      <c r="B1" s="13" t="s">
        <v>120</v>
      </c>
      <c r="C1" s="5" t="s">
        <v>121</v>
      </c>
    </row>
    <row r="2" spans="1:3" x14ac:dyDescent="0.3">
      <c r="A2" s="20" t="s">
        <v>122</v>
      </c>
      <c r="B2" s="20">
        <v>19029.96</v>
      </c>
      <c r="C2" s="21"/>
    </row>
    <row r="3" spans="1:3" x14ac:dyDescent="0.3">
      <c r="A3" s="20" t="s">
        <v>123</v>
      </c>
      <c r="B3" s="20">
        <v>18507.339999999997</v>
      </c>
      <c r="C3" s="22">
        <f>(B3-B2)/B2</f>
        <v>-2.7463010957458799E-2</v>
      </c>
    </row>
    <row r="4" spans="1:3" x14ac:dyDescent="0.3">
      <c r="A4" s="20" t="s">
        <v>124</v>
      </c>
      <c r="B4" s="20">
        <v>20187.509999999998</v>
      </c>
      <c r="C4" s="22">
        <f>(B4-B3)/B3</f>
        <v>9.0783980842195702E-2</v>
      </c>
    </row>
    <row r="5" spans="1:3" x14ac:dyDescent="0.3">
      <c r="A5" s="20" t="s">
        <v>125</v>
      </c>
      <c r="B5" s="20">
        <v>11609.039999999999</v>
      </c>
      <c r="C5" s="22">
        <f>(B5-B4)/B4</f>
        <v>-0.42493947990614001</v>
      </c>
    </row>
    <row r="6" spans="1:3" x14ac:dyDescent="0.3">
      <c r="A6" s="20" t="s">
        <v>126</v>
      </c>
      <c r="B6" s="20">
        <v>10091.699999999999</v>
      </c>
      <c r="C6" s="22">
        <f t="shared" ref="C6:C14" si="0">(B6-B5)/B5</f>
        <v>-0.13070331396911375</v>
      </c>
    </row>
    <row r="7" spans="1:3" x14ac:dyDescent="0.3">
      <c r="A7" s="20" t="s">
        <v>127</v>
      </c>
      <c r="B7" s="20">
        <v>20533.499999999996</v>
      </c>
      <c r="C7" s="22">
        <f t="shared" si="0"/>
        <v>1.0346918755016496</v>
      </c>
    </row>
    <row r="8" spans="1:3" x14ac:dyDescent="0.3">
      <c r="A8" s="20" t="s">
        <v>128</v>
      </c>
      <c r="B8" s="20">
        <v>14215.240000000002</v>
      </c>
      <c r="C8" s="22">
        <f t="shared" si="0"/>
        <v>-0.30770496992719193</v>
      </c>
    </row>
    <row r="9" spans="1:3" x14ac:dyDescent="0.3">
      <c r="A9" s="20" t="s">
        <v>129</v>
      </c>
      <c r="B9" s="20">
        <v>20135.030000000002</v>
      </c>
      <c r="C9" s="22">
        <f t="shared" si="0"/>
        <v>0.4164396802305132</v>
      </c>
    </row>
    <row r="10" spans="1:3" x14ac:dyDescent="0.3">
      <c r="A10" s="20" t="s">
        <v>130</v>
      </c>
      <c r="B10" s="20">
        <v>11120.04</v>
      </c>
      <c r="C10" s="22">
        <f t="shared" si="0"/>
        <v>-0.44772667336477773</v>
      </c>
    </row>
    <row r="11" spans="1:3" x14ac:dyDescent="0.3">
      <c r="A11" s="20" t="s">
        <v>131</v>
      </c>
      <c r="B11" s="20">
        <v>14914.650000000001</v>
      </c>
      <c r="C11" s="22">
        <f t="shared" si="0"/>
        <v>0.34124067899036337</v>
      </c>
    </row>
    <row r="12" spans="1:3" x14ac:dyDescent="0.3">
      <c r="A12" s="20" t="s">
        <v>132</v>
      </c>
      <c r="B12" s="20">
        <v>14006.359999999999</v>
      </c>
      <c r="C12" s="22">
        <f t="shared" si="0"/>
        <v>-6.0899183018039482E-2</v>
      </c>
    </row>
    <row r="13" spans="1:3" x14ac:dyDescent="0.3">
      <c r="A13" s="20" t="s">
        <v>133</v>
      </c>
      <c r="B13" s="20">
        <v>17655.219999999998</v>
      </c>
      <c r="C13" s="22">
        <f t="shared" si="0"/>
        <v>0.26051450912299834</v>
      </c>
    </row>
    <row r="14" spans="1:3" x14ac:dyDescent="0.3">
      <c r="A14" s="20" t="s">
        <v>134</v>
      </c>
      <c r="B14" s="20">
        <v>3212.17</v>
      </c>
      <c r="C14" s="22">
        <f t="shared" si="0"/>
        <v>-0.81806117397574196</v>
      </c>
    </row>
    <row r="15" spans="1:3" x14ac:dyDescent="0.3">
      <c r="A15" s="17" t="s">
        <v>119</v>
      </c>
      <c r="B15" s="17">
        <v>195217.76</v>
      </c>
      <c r="C15" s="19">
        <f>AVERAGE(C3:C14)</f>
        <v>-6.1522567025619384E-3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2FDD21E4-B65F-4BFF-8589-0162C5B2D909}">
            <x14:iconSet iconSet="3Arrows" custom="1">
              <x14:cfvo type="percent">
                <xm:f>0</xm:f>
              </x14:cfvo>
              <x14:cfvo type="num">
                <xm:f>0</xm:f>
              </x14:cfvo>
              <x14:cfvo type="num">
                <xm:f>0.05</xm:f>
              </x14:cfvo>
              <x14:cfIcon iconSet="3Arrows" iconId="0"/>
              <x14:cfIcon iconSet="3Arrows" iconId="1"/>
              <x14:cfIcon iconSet="3Arrows" iconId="2"/>
            </x14:iconSet>
          </x14:cfRule>
          <xm:sqref>C3:C14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52C-B996-42E7-86FB-9DE175648720}">
  <dimension ref="A2:B8"/>
  <sheetViews>
    <sheetView workbookViewId="0">
      <selection activeCell="F28" sqref="F28"/>
    </sheetView>
  </sheetViews>
  <sheetFormatPr defaultRowHeight="14.4" x14ac:dyDescent="0.3"/>
  <cols>
    <col min="1" max="1" width="18.5546875" bestFit="1" customWidth="1"/>
    <col min="2" max="2" width="11.6640625" bestFit="1" customWidth="1"/>
  </cols>
  <sheetData>
    <row r="2" spans="1:2" x14ac:dyDescent="0.3">
      <c r="A2" s="6" t="s">
        <v>4</v>
      </c>
      <c r="B2" t="s">
        <v>120</v>
      </c>
    </row>
    <row r="3" spans="1:2" x14ac:dyDescent="0.3">
      <c r="A3" s="7" t="s">
        <v>13</v>
      </c>
      <c r="B3">
        <v>47002.460000000006</v>
      </c>
    </row>
    <row r="4" spans="1:2" x14ac:dyDescent="0.3">
      <c r="A4" s="7" t="s">
        <v>16</v>
      </c>
      <c r="B4">
        <v>41927.589999999989</v>
      </c>
    </row>
    <row r="5" spans="1:2" x14ac:dyDescent="0.3">
      <c r="A5" s="7" t="s">
        <v>22</v>
      </c>
      <c r="B5">
        <v>41044.000000000007</v>
      </c>
    </row>
    <row r="6" spans="1:2" x14ac:dyDescent="0.3">
      <c r="A6" s="7" t="s">
        <v>28</v>
      </c>
      <c r="B6">
        <v>36612.89</v>
      </c>
    </row>
    <row r="7" spans="1:2" x14ac:dyDescent="0.3">
      <c r="A7" s="7" t="s">
        <v>40</v>
      </c>
      <c r="B7">
        <v>28630.819999999992</v>
      </c>
    </row>
    <row r="8" spans="1:2" x14ac:dyDescent="0.3">
      <c r="A8" s="7" t="s">
        <v>119</v>
      </c>
      <c r="B8">
        <v>195217.76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8F6A-B49B-4233-B4EA-EBE166441511}">
  <dimension ref="A1:B4"/>
  <sheetViews>
    <sheetView workbookViewId="0">
      <selection activeCell="H16" sqref="H16"/>
    </sheetView>
  </sheetViews>
  <sheetFormatPr defaultRowHeight="14.4" x14ac:dyDescent="0.3"/>
  <cols>
    <col min="1" max="2" width="10.44140625" style="14" customWidth="1"/>
    <col min="3" max="16384" width="8.88671875" style="14"/>
  </cols>
  <sheetData>
    <row r="1" spans="1:2" x14ac:dyDescent="0.3">
      <c r="A1" s="14" t="s">
        <v>79</v>
      </c>
      <c r="B1" s="14" t="s">
        <v>80</v>
      </c>
    </row>
    <row r="2" spans="1:2" x14ac:dyDescent="0.3">
      <c r="A2" s="14" t="s">
        <v>5</v>
      </c>
      <c r="B2" s="14">
        <f>SUM(Dataset!E:E)</f>
        <v>195217.75999999992</v>
      </c>
    </row>
    <row r="3" spans="1:2" x14ac:dyDescent="0.3">
      <c r="A3" s="14" t="s">
        <v>7</v>
      </c>
      <c r="B3" s="14">
        <v>9.7250000000000003E-2</v>
      </c>
    </row>
    <row r="4" spans="1:2" x14ac:dyDescent="0.3">
      <c r="A4" s="14" t="s">
        <v>9</v>
      </c>
      <c r="B4" s="14">
        <f>B2-(B2*B3)</f>
        <v>176232.83283999993</v>
      </c>
    </row>
  </sheetData>
  <scenarios current="1" show="1">
    <scenario name="5% Discount" locked="1" count="1" user="Lenovo" comment="Created by Lenovo on 23-05-2026_x000a_Modified by Lenovo on 23-05-2026">
      <inputCells r="B3" val="0.05"/>
    </scenario>
    <scenario name="10% Discount" locked="1" count="1" user="Lenovo" comment="Created by Lenovo on 23-05-2026_x000a_Modified by Lenovo on 23-05-2026">
      <inputCells r="B3" val="0.1"/>
    </scenario>
    <scenario name="20% Discount" locked="1" count="1" user="Lenovo" comment="Created by Lenovo on 23-05-2026_x000a_Modified by Lenovo on 23-05-2026">
      <inputCells r="B3" val="0.2"/>
    </scenario>
  </scenario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Dashboard</vt:lpstr>
      <vt:lpstr>KPI_Data</vt:lpstr>
      <vt:lpstr>High_Value_Customers</vt:lpstr>
      <vt:lpstr>Region_Wise_Product_Analysis</vt:lpstr>
      <vt:lpstr>Pivot_Region</vt:lpstr>
      <vt:lpstr>Monthly Sales Trend</vt:lpstr>
      <vt:lpstr>Regression</vt:lpstr>
      <vt:lpstr>Descriptive_Analysis</vt:lpstr>
      <vt:lpstr>Dataset</vt:lpstr>
      <vt:lpstr>Monthly_Growth</vt:lpstr>
      <vt:lpstr>Product Performance</vt:lpstr>
      <vt:lpstr>Profit_Analysis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Jiya Patel</cp:lastModifiedBy>
  <cp:lastPrinted>2026-05-25T09:00:48Z</cp:lastPrinted>
  <dcterms:created xsi:type="dcterms:W3CDTF">2026-05-24T12:35:26Z</dcterms:created>
  <dcterms:modified xsi:type="dcterms:W3CDTF">2026-09-17T04:58:26Z</dcterms:modified>
</cp:coreProperties>
</file>