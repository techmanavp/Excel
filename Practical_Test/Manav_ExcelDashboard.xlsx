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&amp;W\05_Excel\Practical_Test\"/>
    </mc:Choice>
  </mc:AlternateContent>
  <xr:revisionPtr revIDLastSave="0" documentId="13_ncr:1_{7CC7B319-1ADA-43C8-A0B6-440F4F4F26D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nstructions" sheetId="1" r:id="rId1"/>
    <sheet name="Reference" sheetId="3" r:id="rId2"/>
    <sheet name="Raw_Data" sheetId="2" r:id="rId3"/>
    <sheet name="Cleaned_Data" sheetId="4" r:id="rId4"/>
    <sheet name="Summary_Analysis" sheetId="6" r:id="rId5"/>
    <sheet name="Formulas_Demo" sheetId="5" r:id="rId6"/>
    <sheet name="Dashboard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7" l="1"/>
  <c r="G24" i="7"/>
  <c r="G23" i="7"/>
  <c r="G22" i="7"/>
  <c r="G21" i="7"/>
  <c r="G20" i="7"/>
  <c r="G19" i="7"/>
  <c r="G18" i="7"/>
  <c r="A18" i="7"/>
  <c r="G17" i="7"/>
  <c r="D17" i="7"/>
  <c r="A17" i="7"/>
  <c r="G16" i="7"/>
  <c r="D16" i="7"/>
  <c r="A16" i="7"/>
  <c r="G15" i="7"/>
  <c r="D15" i="7"/>
  <c r="A15" i="7"/>
  <c r="G14" i="7"/>
  <c r="D14" i="7"/>
  <c r="A14" i="7"/>
  <c r="B9" i="7"/>
  <c r="E4" i="7"/>
  <c r="D17" i="6"/>
  <c r="D16" i="6"/>
  <c r="D15" i="6"/>
  <c r="D14" i="6"/>
  <c r="D9" i="6"/>
  <c r="D8" i="6"/>
  <c r="D7" i="6"/>
  <c r="D6" i="6"/>
  <c r="D5" i="6"/>
  <c r="B26" i="5"/>
  <c r="C26" i="5" s="1"/>
  <c r="A26" i="5"/>
  <c r="A25" i="5"/>
  <c r="A24" i="5"/>
  <c r="A23" i="5"/>
  <c r="B22" i="5"/>
  <c r="C22" i="5" s="1"/>
  <c r="A22" i="5"/>
  <c r="A21" i="5"/>
  <c r="A20" i="5"/>
  <c r="A19" i="5"/>
  <c r="B18" i="5"/>
  <c r="C18" i="5" s="1"/>
  <c r="A18" i="5"/>
  <c r="A17" i="5"/>
  <c r="B11" i="5"/>
  <c r="B5" i="5"/>
  <c r="B6" i="5" s="1"/>
  <c r="N369" i="4"/>
  <c r="L369" i="4"/>
  <c r="K369" i="4"/>
  <c r="N368" i="4"/>
  <c r="K368" i="4"/>
  <c r="L368" i="4" s="1"/>
  <c r="N367" i="4"/>
  <c r="K367" i="4"/>
  <c r="L367" i="4" s="1"/>
  <c r="N366" i="4"/>
  <c r="K366" i="4"/>
  <c r="L366" i="4" s="1"/>
  <c r="N365" i="4"/>
  <c r="L365" i="4"/>
  <c r="K365" i="4"/>
  <c r="N364" i="4"/>
  <c r="L364" i="4"/>
  <c r="K364" i="4"/>
  <c r="N363" i="4"/>
  <c r="K363" i="4"/>
  <c r="L363" i="4" s="1"/>
  <c r="N362" i="4"/>
  <c r="K362" i="4"/>
  <c r="L362" i="4" s="1"/>
  <c r="N361" i="4"/>
  <c r="L361" i="4"/>
  <c r="K361" i="4"/>
  <c r="N360" i="4"/>
  <c r="K360" i="4"/>
  <c r="L360" i="4" s="1"/>
  <c r="N359" i="4"/>
  <c r="K359" i="4"/>
  <c r="L359" i="4" s="1"/>
  <c r="N358" i="4"/>
  <c r="K358" i="4"/>
  <c r="L358" i="4" s="1"/>
  <c r="N357" i="4"/>
  <c r="L357" i="4"/>
  <c r="K357" i="4"/>
  <c r="N356" i="4"/>
  <c r="L356" i="4"/>
  <c r="K356" i="4"/>
  <c r="N355" i="4"/>
  <c r="K355" i="4"/>
  <c r="L355" i="4" s="1"/>
  <c r="N354" i="4"/>
  <c r="K354" i="4"/>
  <c r="L354" i="4" s="1"/>
  <c r="N353" i="4"/>
  <c r="L353" i="4"/>
  <c r="K353" i="4"/>
  <c r="N352" i="4"/>
  <c r="K352" i="4"/>
  <c r="L352" i="4" s="1"/>
  <c r="N351" i="4"/>
  <c r="K351" i="4"/>
  <c r="L351" i="4" s="1"/>
  <c r="N350" i="4"/>
  <c r="K350" i="4"/>
  <c r="L350" i="4" s="1"/>
  <c r="N349" i="4"/>
  <c r="L349" i="4"/>
  <c r="K349" i="4"/>
  <c r="N348" i="4"/>
  <c r="L348" i="4"/>
  <c r="K348" i="4"/>
  <c r="N347" i="4"/>
  <c r="K347" i="4"/>
  <c r="L347" i="4" s="1"/>
  <c r="N346" i="4"/>
  <c r="K346" i="4"/>
  <c r="L346" i="4" s="1"/>
  <c r="N345" i="4"/>
  <c r="L345" i="4"/>
  <c r="K345" i="4"/>
  <c r="N344" i="4"/>
  <c r="K344" i="4"/>
  <c r="L344" i="4" s="1"/>
  <c r="N343" i="4"/>
  <c r="K343" i="4"/>
  <c r="L343" i="4" s="1"/>
  <c r="N342" i="4"/>
  <c r="K342" i="4"/>
  <c r="L342" i="4" s="1"/>
  <c r="N341" i="4"/>
  <c r="L341" i="4"/>
  <c r="K341" i="4"/>
  <c r="N340" i="4"/>
  <c r="L340" i="4"/>
  <c r="K340" i="4"/>
  <c r="N339" i="4"/>
  <c r="K339" i="4"/>
  <c r="L339" i="4" s="1"/>
  <c r="N338" i="4"/>
  <c r="K338" i="4"/>
  <c r="L338" i="4" s="1"/>
  <c r="N337" i="4"/>
  <c r="L337" i="4"/>
  <c r="K337" i="4"/>
  <c r="N336" i="4"/>
  <c r="K336" i="4"/>
  <c r="L336" i="4" s="1"/>
  <c r="N335" i="4"/>
  <c r="K335" i="4"/>
  <c r="L335" i="4" s="1"/>
  <c r="N334" i="4"/>
  <c r="K334" i="4"/>
  <c r="L334" i="4" s="1"/>
  <c r="N333" i="4"/>
  <c r="L333" i="4"/>
  <c r="K333" i="4"/>
  <c r="N332" i="4"/>
  <c r="L332" i="4"/>
  <c r="K332" i="4"/>
  <c r="N331" i="4"/>
  <c r="K331" i="4"/>
  <c r="L331" i="4" s="1"/>
  <c r="N330" i="4"/>
  <c r="K330" i="4"/>
  <c r="L330" i="4" s="1"/>
  <c r="N329" i="4"/>
  <c r="L329" i="4"/>
  <c r="K329" i="4"/>
  <c r="N328" i="4"/>
  <c r="K328" i="4"/>
  <c r="L328" i="4" s="1"/>
  <c r="N327" i="4"/>
  <c r="K327" i="4"/>
  <c r="L327" i="4" s="1"/>
  <c r="N326" i="4"/>
  <c r="K326" i="4"/>
  <c r="L326" i="4" s="1"/>
  <c r="N325" i="4"/>
  <c r="L325" i="4"/>
  <c r="K325" i="4"/>
  <c r="N324" i="4"/>
  <c r="L324" i="4"/>
  <c r="K324" i="4"/>
  <c r="N323" i="4"/>
  <c r="K323" i="4"/>
  <c r="L323" i="4" s="1"/>
  <c r="N322" i="4"/>
  <c r="K322" i="4"/>
  <c r="L322" i="4" s="1"/>
  <c r="N321" i="4"/>
  <c r="L321" i="4"/>
  <c r="K321" i="4"/>
  <c r="N320" i="4"/>
  <c r="K320" i="4"/>
  <c r="L320" i="4" s="1"/>
  <c r="N319" i="4"/>
  <c r="K319" i="4"/>
  <c r="L319" i="4" s="1"/>
  <c r="N318" i="4"/>
  <c r="K318" i="4"/>
  <c r="L318" i="4" s="1"/>
  <c r="N317" i="4"/>
  <c r="L317" i="4"/>
  <c r="K317" i="4"/>
  <c r="N316" i="4"/>
  <c r="L316" i="4"/>
  <c r="K316" i="4"/>
  <c r="N315" i="4"/>
  <c r="K315" i="4"/>
  <c r="L315" i="4" s="1"/>
  <c r="N314" i="4"/>
  <c r="K314" i="4"/>
  <c r="L314" i="4" s="1"/>
  <c r="N313" i="4"/>
  <c r="L313" i="4"/>
  <c r="K313" i="4"/>
  <c r="N312" i="4"/>
  <c r="K312" i="4"/>
  <c r="L312" i="4" s="1"/>
  <c r="N311" i="4"/>
  <c r="K311" i="4"/>
  <c r="L311" i="4" s="1"/>
  <c r="N310" i="4"/>
  <c r="K310" i="4"/>
  <c r="L310" i="4" s="1"/>
  <c r="N309" i="4"/>
  <c r="L309" i="4"/>
  <c r="K309" i="4"/>
  <c r="N308" i="4"/>
  <c r="L308" i="4"/>
  <c r="K308" i="4"/>
  <c r="N307" i="4"/>
  <c r="K307" i="4"/>
  <c r="L307" i="4" s="1"/>
  <c r="N306" i="4"/>
  <c r="K306" i="4"/>
  <c r="L306" i="4" s="1"/>
  <c r="N305" i="4"/>
  <c r="L305" i="4"/>
  <c r="K305" i="4"/>
  <c r="N304" i="4"/>
  <c r="K304" i="4"/>
  <c r="L304" i="4" s="1"/>
  <c r="N303" i="4"/>
  <c r="K303" i="4"/>
  <c r="L303" i="4" s="1"/>
  <c r="N302" i="4"/>
  <c r="K302" i="4"/>
  <c r="L302" i="4" s="1"/>
  <c r="N301" i="4"/>
  <c r="L301" i="4"/>
  <c r="K301" i="4"/>
  <c r="N300" i="4"/>
  <c r="L300" i="4"/>
  <c r="K300" i="4"/>
  <c r="N299" i="4"/>
  <c r="K299" i="4"/>
  <c r="L299" i="4" s="1"/>
  <c r="N298" i="4"/>
  <c r="K298" i="4"/>
  <c r="L298" i="4" s="1"/>
  <c r="N297" i="4"/>
  <c r="L297" i="4"/>
  <c r="K297" i="4"/>
  <c r="N296" i="4"/>
  <c r="K296" i="4"/>
  <c r="L296" i="4" s="1"/>
  <c r="N295" i="4"/>
  <c r="K295" i="4"/>
  <c r="L295" i="4" s="1"/>
  <c r="N294" i="4"/>
  <c r="K294" i="4"/>
  <c r="L294" i="4" s="1"/>
  <c r="N293" i="4"/>
  <c r="L293" i="4"/>
  <c r="K293" i="4"/>
  <c r="N292" i="4"/>
  <c r="L292" i="4"/>
  <c r="K292" i="4"/>
  <c r="N291" i="4"/>
  <c r="K291" i="4"/>
  <c r="L291" i="4" s="1"/>
  <c r="N290" i="4"/>
  <c r="K290" i="4"/>
  <c r="L290" i="4" s="1"/>
  <c r="N289" i="4"/>
  <c r="L289" i="4"/>
  <c r="K289" i="4"/>
  <c r="N288" i="4"/>
  <c r="K288" i="4"/>
  <c r="L288" i="4" s="1"/>
  <c r="N287" i="4"/>
  <c r="K287" i="4"/>
  <c r="L287" i="4" s="1"/>
  <c r="N286" i="4"/>
  <c r="K286" i="4"/>
  <c r="L286" i="4" s="1"/>
  <c r="N285" i="4"/>
  <c r="L285" i="4"/>
  <c r="K285" i="4"/>
  <c r="N284" i="4"/>
  <c r="L284" i="4"/>
  <c r="K284" i="4"/>
  <c r="N283" i="4"/>
  <c r="K283" i="4"/>
  <c r="L283" i="4" s="1"/>
  <c r="N282" i="4"/>
  <c r="K282" i="4"/>
  <c r="L282" i="4" s="1"/>
  <c r="N281" i="4"/>
  <c r="L281" i="4"/>
  <c r="K281" i="4"/>
  <c r="N280" i="4"/>
  <c r="K280" i="4"/>
  <c r="L280" i="4" s="1"/>
  <c r="N279" i="4"/>
  <c r="K279" i="4"/>
  <c r="L279" i="4" s="1"/>
  <c r="N278" i="4"/>
  <c r="K278" i="4"/>
  <c r="L278" i="4" s="1"/>
  <c r="N277" i="4"/>
  <c r="L277" i="4"/>
  <c r="K277" i="4"/>
  <c r="N276" i="4"/>
  <c r="L276" i="4"/>
  <c r="K276" i="4"/>
  <c r="N275" i="4"/>
  <c r="K275" i="4"/>
  <c r="L275" i="4" s="1"/>
  <c r="N274" i="4"/>
  <c r="K274" i="4"/>
  <c r="L274" i="4" s="1"/>
  <c r="N273" i="4"/>
  <c r="L273" i="4"/>
  <c r="K273" i="4"/>
  <c r="N272" i="4"/>
  <c r="K272" i="4"/>
  <c r="L272" i="4" s="1"/>
  <c r="N271" i="4"/>
  <c r="K271" i="4"/>
  <c r="L271" i="4" s="1"/>
  <c r="N270" i="4"/>
  <c r="K270" i="4"/>
  <c r="L270" i="4" s="1"/>
  <c r="N269" i="4"/>
  <c r="L269" i="4"/>
  <c r="K269" i="4"/>
  <c r="N268" i="4"/>
  <c r="L268" i="4"/>
  <c r="K268" i="4"/>
  <c r="N267" i="4"/>
  <c r="K267" i="4"/>
  <c r="L267" i="4" s="1"/>
  <c r="N266" i="4"/>
  <c r="K266" i="4"/>
  <c r="L266" i="4" s="1"/>
  <c r="N265" i="4"/>
  <c r="L265" i="4"/>
  <c r="K265" i="4"/>
  <c r="N264" i="4"/>
  <c r="K264" i="4"/>
  <c r="L264" i="4" s="1"/>
  <c r="N263" i="4"/>
  <c r="K263" i="4"/>
  <c r="L263" i="4" s="1"/>
  <c r="N262" i="4"/>
  <c r="K262" i="4"/>
  <c r="L262" i="4" s="1"/>
  <c r="N261" i="4"/>
  <c r="L261" i="4"/>
  <c r="K261" i="4"/>
  <c r="N260" i="4"/>
  <c r="L260" i="4"/>
  <c r="K260" i="4"/>
  <c r="N259" i="4"/>
  <c r="K259" i="4"/>
  <c r="L259" i="4" s="1"/>
  <c r="N258" i="4"/>
  <c r="K258" i="4"/>
  <c r="L258" i="4" s="1"/>
  <c r="N257" i="4"/>
  <c r="L257" i="4"/>
  <c r="K257" i="4"/>
  <c r="N256" i="4"/>
  <c r="K256" i="4"/>
  <c r="L256" i="4" s="1"/>
  <c r="N255" i="4"/>
  <c r="K255" i="4"/>
  <c r="L255" i="4" s="1"/>
  <c r="N254" i="4"/>
  <c r="K254" i="4"/>
  <c r="L254" i="4" s="1"/>
  <c r="N253" i="4"/>
  <c r="L253" i="4"/>
  <c r="K253" i="4"/>
  <c r="N252" i="4"/>
  <c r="L252" i="4"/>
  <c r="K252" i="4"/>
  <c r="N251" i="4"/>
  <c r="K251" i="4"/>
  <c r="L251" i="4" s="1"/>
  <c r="N250" i="4"/>
  <c r="K250" i="4"/>
  <c r="L250" i="4" s="1"/>
  <c r="N249" i="4"/>
  <c r="L249" i="4"/>
  <c r="K249" i="4"/>
  <c r="N248" i="4"/>
  <c r="K248" i="4"/>
  <c r="L248" i="4" s="1"/>
  <c r="N247" i="4"/>
  <c r="K247" i="4"/>
  <c r="L247" i="4" s="1"/>
  <c r="N246" i="4"/>
  <c r="K246" i="4"/>
  <c r="L246" i="4" s="1"/>
  <c r="N245" i="4"/>
  <c r="L245" i="4"/>
  <c r="K245" i="4"/>
  <c r="N244" i="4"/>
  <c r="L244" i="4"/>
  <c r="K244" i="4"/>
  <c r="N243" i="4"/>
  <c r="K243" i="4"/>
  <c r="L243" i="4" s="1"/>
  <c r="N242" i="4"/>
  <c r="K242" i="4"/>
  <c r="L242" i="4" s="1"/>
  <c r="N241" i="4"/>
  <c r="L241" i="4"/>
  <c r="K241" i="4"/>
  <c r="N240" i="4"/>
  <c r="K240" i="4"/>
  <c r="L240" i="4" s="1"/>
  <c r="N239" i="4"/>
  <c r="K239" i="4"/>
  <c r="L239" i="4" s="1"/>
  <c r="N238" i="4"/>
  <c r="K238" i="4"/>
  <c r="L238" i="4" s="1"/>
  <c r="N237" i="4"/>
  <c r="L237" i="4"/>
  <c r="K237" i="4"/>
  <c r="N236" i="4"/>
  <c r="L236" i="4"/>
  <c r="K236" i="4"/>
  <c r="N235" i="4"/>
  <c r="K235" i="4"/>
  <c r="L235" i="4" s="1"/>
  <c r="N234" i="4"/>
  <c r="K234" i="4"/>
  <c r="L234" i="4" s="1"/>
  <c r="N233" i="4"/>
  <c r="L233" i="4"/>
  <c r="K233" i="4"/>
  <c r="N232" i="4"/>
  <c r="K232" i="4"/>
  <c r="L232" i="4" s="1"/>
  <c r="N231" i="4"/>
  <c r="K231" i="4"/>
  <c r="L231" i="4" s="1"/>
  <c r="N230" i="4"/>
  <c r="K230" i="4"/>
  <c r="L230" i="4" s="1"/>
  <c r="N229" i="4"/>
  <c r="L229" i="4"/>
  <c r="K229" i="4"/>
  <c r="N228" i="4"/>
  <c r="L228" i="4"/>
  <c r="K228" i="4"/>
  <c r="N227" i="4"/>
  <c r="K227" i="4"/>
  <c r="L227" i="4" s="1"/>
  <c r="N226" i="4"/>
  <c r="K226" i="4"/>
  <c r="L226" i="4" s="1"/>
  <c r="N225" i="4"/>
  <c r="L225" i="4"/>
  <c r="K225" i="4"/>
  <c r="N224" i="4"/>
  <c r="K224" i="4"/>
  <c r="L224" i="4" s="1"/>
  <c r="N223" i="4"/>
  <c r="K223" i="4"/>
  <c r="L223" i="4" s="1"/>
  <c r="N222" i="4"/>
  <c r="K222" i="4"/>
  <c r="L222" i="4" s="1"/>
  <c r="N221" i="4"/>
  <c r="L221" i="4"/>
  <c r="K221" i="4"/>
  <c r="N220" i="4"/>
  <c r="L220" i="4"/>
  <c r="K220" i="4"/>
  <c r="N219" i="4"/>
  <c r="K219" i="4"/>
  <c r="L219" i="4" s="1"/>
  <c r="N218" i="4"/>
  <c r="K218" i="4"/>
  <c r="L218" i="4" s="1"/>
  <c r="N217" i="4"/>
  <c r="L217" i="4"/>
  <c r="K217" i="4"/>
  <c r="N216" i="4"/>
  <c r="K216" i="4"/>
  <c r="L216" i="4" s="1"/>
  <c r="N215" i="4"/>
  <c r="K215" i="4"/>
  <c r="L215" i="4" s="1"/>
  <c r="N214" i="4"/>
  <c r="K214" i="4"/>
  <c r="L214" i="4" s="1"/>
  <c r="N213" i="4"/>
  <c r="L213" i="4"/>
  <c r="K213" i="4"/>
  <c r="N212" i="4"/>
  <c r="L212" i="4"/>
  <c r="K212" i="4"/>
  <c r="N211" i="4"/>
  <c r="K211" i="4"/>
  <c r="L211" i="4" s="1"/>
  <c r="N210" i="4"/>
  <c r="K210" i="4"/>
  <c r="L210" i="4" s="1"/>
  <c r="N209" i="4"/>
  <c r="L209" i="4"/>
  <c r="K209" i="4"/>
  <c r="N208" i="4"/>
  <c r="K208" i="4"/>
  <c r="L208" i="4" s="1"/>
  <c r="N207" i="4"/>
  <c r="K207" i="4"/>
  <c r="L207" i="4" s="1"/>
  <c r="N206" i="4"/>
  <c r="K206" i="4"/>
  <c r="L206" i="4" s="1"/>
  <c r="N205" i="4"/>
  <c r="L205" i="4"/>
  <c r="K205" i="4"/>
  <c r="N204" i="4"/>
  <c r="L204" i="4"/>
  <c r="K204" i="4"/>
  <c r="N203" i="4"/>
  <c r="K203" i="4"/>
  <c r="L203" i="4" s="1"/>
  <c r="N202" i="4"/>
  <c r="K202" i="4"/>
  <c r="L202" i="4" s="1"/>
  <c r="N201" i="4"/>
  <c r="L201" i="4"/>
  <c r="K201" i="4"/>
  <c r="N200" i="4"/>
  <c r="K200" i="4"/>
  <c r="L200" i="4" s="1"/>
  <c r="N199" i="4"/>
  <c r="K199" i="4"/>
  <c r="L199" i="4" s="1"/>
  <c r="N198" i="4"/>
  <c r="K198" i="4"/>
  <c r="L198" i="4" s="1"/>
  <c r="N197" i="4"/>
  <c r="L197" i="4"/>
  <c r="K197" i="4"/>
  <c r="N196" i="4"/>
  <c r="L196" i="4"/>
  <c r="K196" i="4"/>
  <c r="N195" i="4"/>
  <c r="K195" i="4"/>
  <c r="L195" i="4" s="1"/>
  <c r="N194" i="4"/>
  <c r="K194" i="4"/>
  <c r="L194" i="4" s="1"/>
  <c r="N193" i="4"/>
  <c r="L193" i="4"/>
  <c r="K193" i="4"/>
  <c r="N192" i="4"/>
  <c r="K192" i="4"/>
  <c r="L192" i="4" s="1"/>
  <c r="N191" i="4"/>
  <c r="K191" i="4"/>
  <c r="L191" i="4" s="1"/>
  <c r="N190" i="4"/>
  <c r="K190" i="4"/>
  <c r="L190" i="4" s="1"/>
  <c r="N189" i="4"/>
  <c r="L189" i="4"/>
  <c r="K189" i="4"/>
  <c r="N188" i="4"/>
  <c r="L188" i="4"/>
  <c r="K188" i="4"/>
  <c r="N187" i="4"/>
  <c r="K187" i="4"/>
  <c r="L187" i="4" s="1"/>
  <c r="N186" i="4"/>
  <c r="K186" i="4"/>
  <c r="L186" i="4" s="1"/>
  <c r="N185" i="4"/>
  <c r="L185" i="4"/>
  <c r="K185" i="4"/>
  <c r="N184" i="4"/>
  <c r="K184" i="4"/>
  <c r="L184" i="4" s="1"/>
  <c r="N183" i="4"/>
  <c r="K183" i="4"/>
  <c r="L183" i="4" s="1"/>
  <c r="N182" i="4"/>
  <c r="K182" i="4"/>
  <c r="L182" i="4" s="1"/>
  <c r="N181" i="4"/>
  <c r="L181" i="4"/>
  <c r="K181" i="4"/>
  <c r="N180" i="4"/>
  <c r="L180" i="4"/>
  <c r="K180" i="4"/>
  <c r="N179" i="4"/>
  <c r="K179" i="4"/>
  <c r="L179" i="4" s="1"/>
  <c r="N178" i="4"/>
  <c r="K178" i="4"/>
  <c r="L178" i="4" s="1"/>
  <c r="N177" i="4"/>
  <c r="L177" i="4"/>
  <c r="K177" i="4"/>
  <c r="N176" i="4"/>
  <c r="K176" i="4"/>
  <c r="L176" i="4" s="1"/>
  <c r="N175" i="4"/>
  <c r="K175" i="4"/>
  <c r="L175" i="4" s="1"/>
  <c r="N174" i="4"/>
  <c r="K174" i="4"/>
  <c r="L174" i="4" s="1"/>
  <c r="N173" i="4"/>
  <c r="L173" i="4"/>
  <c r="K173" i="4"/>
  <c r="N172" i="4"/>
  <c r="L172" i="4"/>
  <c r="K172" i="4"/>
  <c r="N171" i="4"/>
  <c r="K171" i="4"/>
  <c r="L171" i="4" s="1"/>
  <c r="N170" i="4"/>
  <c r="K170" i="4"/>
  <c r="L170" i="4" s="1"/>
  <c r="N169" i="4"/>
  <c r="L169" i="4"/>
  <c r="K169" i="4"/>
  <c r="N168" i="4"/>
  <c r="K168" i="4"/>
  <c r="L168" i="4" s="1"/>
  <c r="N167" i="4"/>
  <c r="K167" i="4"/>
  <c r="L167" i="4" s="1"/>
  <c r="N166" i="4"/>
  <c r="K166" i="4"/>
  <c r="L166" i="4" s="1"/>
  <c r="N165" i="4"/>
  <c r="L165" i="4"/>
  <c r="K165" i="4"/>
  <c r="N164" i="4"/>
  <c r="L164" i="4"/>
  <c r="K164" i="4"/>
  <c r="N163" i="4"/>
  <c r="K163" i="4"/>
  <c r="L163" i="4" s="1"/>
  <c r="N162" i="4"/>
  <c r="K162" i="4"/>
  <c r="L162" i="4" s="1"/>
  <c r="N161" i="4"/>
  <c r="L161" i="4"/>
  <c r="K161" i="4"/>
  <c r="N160" i="4"/>
  <c r="K160" i="4"/>
  <c r="L160" i="4" s="1"/>
  <c r="N159" i="4"/>
  <c r="K159" i="4"/>
  <c r="L159" i="4" s="1"/>
  <c r="N158" i="4"/>
  <c r="K158" i="4"/>
  <c r="L158" i="4" s="1"/>
  <c r="N157" i="4"/>
  <c r="L157" i="4"/>
  <c r="K157" i="4"/>
  <c r="N156" i="4"/>
  <c r="L156" i="4"/>
  <c r="K156" i="4"/>
  <c r="N155" i="4"/>
  <c r="K155" i="4"/>
  <c r="L155" i="4" s="1"/>
  <c r="N154" i="4"/>
  <c r="K154" i="4"/>
  <c r="L154" i="4" s="1"/>
  <c r="N153" i="4"/>
  <c r="L153" i="4"/>
  <c r="K153" i="4"/>
  <c r="N152" i="4"/>
  <c r="K152" i="4"/>
  <c r="L152" i="4" s="1"/>
  <c r="N151" i="4"/>
  <c r="K151" i="4"/>
  <c r="L151" i="4" s="1"/>
  <c r="N150" i="4"/>
  <c r="K150" i="4"/>
  <c r="L150" i="4" s="1"/>
  <c r="N149" i="4"/>
  <c r="L149" i="4"/>
  <c r="K149" i="4"/>
  <c r="N148" i="4"/>
  <c r="L148" i="4"/>
  <c r="K148" i="4"/>
  <c r="N147" i="4"/>
  <c r="K147" i="4"/>
  <c r="L147" i="4" s="1"/>
  <c r="N146" i="4"/>
  <c r="K146" i="4"/>
  <c r="L146" i="4" s="1"/>
  <c r="N145" i="4"/>
  <c r="L145" i="4"/>
  <c r="K145" i="4"/>
  <c r="N144" i="4"/>
  <c r="K144" i="4"/>
  <c r="L144" i="4" s="1"/>
  <c r="N143" i="4"/>
  <c r="K143" i="4"/>
  <c r="L143" i="4" s="1"/>
  <c r="N142" i="4"/>
  <c r="K142" i="4"/>
  <c r="L142" i="4" s="1"/>
  <c r="N141" i="4"/>
  <c r="L141" i="4"/>
  <c r="K141" i="4"/>
  <c r="N140" i="4"/>
  <c r="L140" i="4"/>
  <c r="K140" i="4"/>
  <c r="N139" i="4"/>
  <c r="K139" i="4"/>
  <c r="L139" i="4" s="1"/>
  <c r="N138" i="4"/>
  <c r="K138" i="4"/>
  <c r="L138" i="4" s="1"/>
  <c r="N137" i="4"/>
  <c r="L137" i="4"/>
  <c r="K137" i="4"/>
  <c r="N136" i="4"/>
  <c r="K136" i="4"/>
  <c r="L136" i="4" s="1"/>
  <c r="N135" i="4"/>
  <c r="K135" i="4"/>
  <c r="L135" i="4" s="1"/>
  <c r="N134" i="4"/>
  <c r="K134" i="4"/>
  <c r="L134" i="4" s="1"/>
  <c r="N133" i="4"/>
  <c r="L133" i="4"/>
  <c r="K133" i="4"/>
  <c r="N132" i="4"/>
  <c r="L132" i="4"/>
  <c r="K132" i="4"/>
  <c r="N131" i="4"/>
  <c r="K131" i="4"/>
  <c r="L131" i="4" s="1"/>
  <c r="N130" i="4"/>
  <c r="K130" i="4"/>
  <c r="L130" i="4" s="1"/>
  <c r="N129" i="4"/>
  <c r="L129" i="4"/>
  <c r="K129" i="4"/>
  <c r="N128" i="4"/>
  <c r="K128" i="4"/>
  <c r="L128" i="4" s="1"/>
  <c r="N127" i="4"/>
  <c r="K127" i="4"/>
  <c r="L127" i="4" s="1"/>
  <c r="N126" i="4"/>
  <c r="K126" i="4"/>
  <c r="L126" i="4" s="1"/>
  <c r="N125" i="4"/>
  <c r="L125" i="4"/>
  <c r="K125" i="4"/>
  <c r="N124" i="4"/>
  <c r="L124" i="4"/>
  <c r="K124" i="4"/>
  <c r="N123" i="4"/>
  <c r="K123" i="4"/>
  <c r="L123" i="4" s="1"/>
  <c r="N122" i="4"/>
  <c r="K122" i="4"/>
  <c r="L122" i="4" s="1"/>
  <c r="N121" i="4"/>
  <c r="L121" i="4"/>
  <c r="K121" i="4"/>
  <c r="N120" i="4"/>
  <c r="K120" i="4"/>
  <c r="L120" i="4" s="1"/>
  <c r="N119" i="4"/>
  <c r="K119" i="4"/>
  <c r="L119" i="4" s="1"/>
  <c r="N118" i="4"/>
  <c r="K118" i="4"/>
  <c r="L118" i="4" s="1"/>
  <c r="N117" i="4"/>
  <c r="L117" i="4"/>
  <c r="K117" i="4"/>
  <c r="N116" i="4"/>
  <c r="L116" i="4"/>
  <c r="K116" i="4"/>
  <c r="N115" i="4"/>
  <c r="K115" i="4"/>
  <c r="L115" i="4" s="1"/>
  <c r="N114" i="4"/>
  <c r="K114" i="4"/>
  <c r="L114" i="4" s="1"/>
  <c r="N113" i="4"/>
  <c r="L113" i="4"/>
  <c r="K113" i="4"/>
  <c r="N112" i="4"/>
  <c r="K112" i="4"/>
  <c r="L112" i="4" s="1"/>
  <c r="N111" i="4"/>
  <c r="K111" i="4"/>
  <c r="L111" i="4" s="1"/>
  <c r="N110" i="4"/>
  <c r="K110" i="4"/>
  <c r="L110" i="4" s="1"/>
  <c r="N109" i="4"/>
  <c r="L109" i="4"/>
  <c r="K109" i="4"/>
  <c r="N108" i="4"/>
  <c r="L108" i="4"/>
  <c r="K108" i="4"/>
  <c r="N107" i="4"/>
  <c r="K107" i="4"/>
  <c r="L107" i="4" s="1"/>
  <c r="N106" i="4"/>
  <c r="K106" i="4"/>
  <c r="L106" i="4" s="1"/>
  <c r="N105" i="4"/>
  <c r="L105" i="4"/>
  <c r="K105" i="4"/>
  <c r="N104" i="4"/>
  <c r="K104" i="4"/>
  <c r="L104" i="4" s="1"/>
  <c r="N103" i="4"/>
  <c r="K103" i="4"/>
  <c r="L103" i="4" s="1"/>
  <c r="N102" i="4"/>
  <c r="K102" i="4"/>
  <c r="L102" i="4" s="1"/>
  <c r="N101" i="4"/>
  <c r="L101" i="4"/>
  <c r="K101" i="4"/>
  <c r="N100" i="4"/>
  <c r="L100" i="4"/>
  <c r="K100" i="4"/>
  <c r="N99" i="4"/>
  <c r="K99" i="4"/>
  <c r="L99" i="4" s="1"/>
  <c r="N98" i="4"/>
  <c r="K98" i="4"/>
  <c r="L98" i="4" s="1"/>
  <c r="N97" i="4"/>
  <c r="L97" i="4"/>
  <c r="K97" i="4"/>
  <c r="N96" i="4"/>
  <c r="K96" i="4"/>
  <c r="L96" i="4" s="1"/>
  <c r="N95" i="4"/>
  <c r="K95" i="4"/>
  <c r="L95" i="4" s="1"/>
  <c r="N94" i="4"/>
  <c r="K94" i="4"/>
  <c r="L94" i="4" s="1"/>
  <c r="N93" i="4"/>
  <c r="L93" i="4"/>
  <c r="K93" i="4"/>
  <c r="N92" i="4"/>
  <c r="L92" i="4"/>
  <c r="K92" i="4"/>
  <c r="N91" i="4"/>
  <c r="K91" i="4"/>
  <c r="L91" i="4" s="1"/>
  <c r="N90" i="4"/>
  <c r="K90" i="4"/>
  <c r="L90" i="4" s="1"/>
  <c r="N89" i="4"/>
  <c r="L89" i="4"/>
  <c r="K89" i="4"/>
  <c r="N88" i="4"/>
  <c r="K88" i="4"/>
  <c r="L88" i="4" s="1"/>
  <c r="N87" i="4"/>
  <c r="K87" i="4"/>
  <c r="L87" i="4" s="1"/>
  <c r="N86" i="4"/>
  <c r="K86" i="4"/>
  <c r="L86" i="4" s="1"/>
  <c r="N85" i="4"/>
  <c r="L85" i="4"/>
  <c r="K85" i="4"/>
  <c r="N84" i="4"/>
  <c r="L84" i="4"/>
  <c r="K84" i="4"/>
  <c r="N83" i="4"/>
  <c r="K83" i="4"/>
  <c r="L83" i="4" s="1"/>
  <c r="N82" i="4"/>
  <c r="K82" i="4"/>
  <c r="L82" i="4" s="1"/>
  <c r="N81" i="4"/>
  <c r="L81" i="4"/>
  <c r="K81" i="4"/>
  <c r="N80" i="4"/>
  <c r="K80" i="4"/>
  <c r="L80" i="4" s="1"/>
  <c r="N79" i="4"/>
  <c r="K79" i="4"/>
  <c r="L79" i="4" s="1"/>
  <c r="N78" i="4"/>
  <c r="K78" i="4"/>
  <c r="L78" i="4" s="1"/>
  <c r="N77" i="4"/>
  <c r="L77" i="4"/>
  <c r="K77" i="4"/>
  <c r="N76" i="4"/>
  <c r="L76" i="4"/>
  <c r="K76" i="4"/>
  <c r="N75" i="4"/>
  <c r="K75" i="4"/>
  <c r="L75" i="4" s="1"/>
  <c r="N74" i="4"/>
  <c r="K74" i="4"/>
  <c r="L74" i="4" s="1"/>
  <c r="N73" i="4"/>
  <c r="L73" i="4"/>
  <c r="K73" i="4"/>
  <c r="N72" i="4"/>
  <c r="K72" i="4"/>
  <c r="L72" i="4" s="1"/>
  <c r="N71" i="4"/>
  <c r="K71" i="4"/>
  <c r="L71" i="4" s="1"/>
  <c r="N70" i="4"/>
  <c r="K70" i="4"/>
  <c r="L70" i="4" s="1"/>
  <c r="N69" i="4"/>
  <c r="L69" i="4"/>
  <c r="K69" i="4"/>
  <c r="N68" i="4"/>
  <c r="L68" i="4"/>
  <c r="K68" i="4"/>
  <c r="N67" i="4"/>
  <c r="K67" i="4"/>
  <c r="L67" i="4" s="1"/>
  <c r="N66" i="4"/>
  <c r="K66" i="4"/>
  <c r="L66" i="4" s="1"/>
  <c r="N65" i="4"/>
  <c r="L65" i="4"/>
  <c r="K65" i="4"/>
  <c r="N64" i="4"/>
  <c r="K64" i="4"/>
  <c r="L64" i="4" s="1"/>
  <c r="N63" i="4"/>
  <c r="K63" i="4"/>
  <c r="L63" i="4" s="1"/>
  <c r="N62" i="4"/>
  <c r="K62" i="4"/>
  <c r="L62" i="4" s="1"/>
  <c r="N61" i="4"/>
  <c r="L61" i="4"/>
  <c r="K61" i="4"/>
  <c r="N60" i="4"/>
  <c r="L60" i="4"/>
  <c r="K60" i="4"/>
  <c r="N59" i="4"/>
  <c r="K59" i="4"/>
  <c r="L59" i="4" s="1"/>
  <c r="N58" i="4"/>
  <c r="K58" i="4"/>
  <c r="L58" i="4" s="1"/>
  <c r="N57" i="4"/>
  <c r="L57" i="4"/>
  <c r="K57" i="4"/>
  <c r="N56" i="4"/>
  <c r="K56" i="4"/>
  <c r="L56" i="4" s="1"/>
  <c r="N55" i="4"/>
  <c r="K55" i="4"/>
  <c r="L55" i="4" s="1"/>
  <c r="N54" i="4"/>
  <c r="K54" i="4"/>
  <c r="L54" i="4" s="1"/>
  <c r="N53" i="4"/>
  <c r="L53" i="4"/>
  <c r="K53" i="4"/>
  <c r="N52" i="4"/>
  <c r="L52" i="4"/>
  <c r="K52" i="4"/>
  <c r="N51" i="4"/>
  <c r="K51" i="4"/>
  <c r="L51" i="4" s="1"/>
  <c r="N50" i="4"/>
  <c r="K50" i="4"/>
  <c r="L50" i="4" s="1"/>
  <c r="N49" i="4"/>
  <c r="L49" i="4"/>
  <c r="K49" i="4"/>
  <c r="N48" i="4"/>
  <c r="K48" i="4"/>
  <c r="L48" i="4" s="1"/>
  <c r="N47" i="4"/>
  <c r="K47" i="4"/>
  <c r="L47" i="4" s="1"/>
  <c r="N46" i="4"/>
  <c r="K46" i="4"/>
  <c r="L46" i="4" s="1"/>
  <c r="N45" i="4"/>
  <c r="L45" i="4"/>
  <c r="K45" i="4"/>
  <c r="N44" i="4"/>
  <c r="L44" i="4"/>
  <c r="K44" i="4"/>
  <c r="N43" i="4"/>
  <c r="K43" i="4"/>
  <c r="L43" i="4" s="1"/>
  <c r="N42" i="4"/>
  <c r="K42" i="4"/>
  <c r="L42" i="4" s="1"/>
  <c r="N41" i="4"/>
  <c r="L41" i="4"/>
  <c r="K41" i="4"/>
  <c r="N40" i="4"/>
  <c r="K40" i="4"/>
  <c r="L40" i="4" s="1"/>
  <c r="N39" i="4"/>
  <c r="K39" i="4"/>
  <c r="L39" i="4" s="1"/>
  <c r="N38" i="4"/>
  <c r="K38" i="4"/>
  <c r="L38" i="4" s="1"/>
  <c r="N37" i="4"/>
  <c r="L37" i="4"/>
  <c r="K37" i="4"/>
  <c r="N36" i="4"/>
  <c r="L36" i="4"/>
  <c r="K36" i="4"/>
  <c r="N35" i="4"/>
  <c r="K35" i="4"/>
  <c r="L35" i="4" s="1"/>
  <c r="N34" i="4"/>
  <c r="K34" i="4"/>
  <c r="L34" i="4" s="1"/>
  <c r="N33" i="4"/>
  <c r="L33" i="4"/>
  <c r="K33" i="4"/>
  <c r="N32" i="4"/>
  <c r="K32" i="4"/>
  <c r="L32" i="4" s="1"/>
  <c r="N31" i="4"/>
  <c r="K31" i="4"/>
  <c r="L31" i="4" s="1"/>
  <c r="N30" i="4"/>
  <c r="K30" i="4"/>
  <c r="L30" i="4" s="1"/>
  <c r="N29" i="4"/>
  <c r="L29" i="4"/>
  <c r="K29" i="4"/>
  <c r="N28" i="4"/>
  <c r="L28" i="4"/>
  <c r="K28" i="4"/>
  <c r="N27" i="4"/>
  <c r="K27" i="4"/>
  <c r="L27" i="4" s="1"/>
  <c r="N26" i="4"/>
  <c r="K26" i="4"/>
  <c r="L26" i="4" s="1"/>
  <c r="N25" i="4"/>
  <c r="L25" i="4"/>
  <c r="K25" i="4"/>
  <c r="N24" i="4"/>
  <c r="K24" i="4"/>
  <c r="L24" i="4" s="1"/>
  <c r="N23" i="4"/>
  <c r="K23" i="4"/>
  <c r="L23" i="4" s="1"/>
  <c r="N22" i="4"/>
  <c r="K22" i="4"/>
  <c r="L22" i="4" s="1"/>
  <c r="N21" i="4"/>
  <c r="L21" i="4"/>
  <c r="K21" i="4"/>
  <c r="N20" i="4"/>
  <c r="L20" i="4"/>
  <c r="K20" i="4"/>
  <c r="N19" i="4"/>
  <c r="K19" i="4"/>
  <c r="L19" i="4" s="1"/>
  <c r="N18" i="4"/>
  <c r="K18" i="4"/>
  <c r="L18" i="4" s="1"/>
  <c r="N17" i="4"/>
  <c r="L17" i="4"/>
  <c r="C14" i="6" s="1"/>
  <c r="K17" i="4"/>
  <c r="B14" i="6" s="1"/>
  <c r="N16" i="4"/>
  <c r="K16" i="4"/>
  <c r="L16" i="4" s="1"/>
  <c r="N15" i="4"/>
  <c r="K15" i="4"/>
  <c r="L15" i="4" s="1"/>
  <c r="N14" i="4"/>
  <c r="K14" i="4"/>
  <c r="L14" i="4" s="1"/>
  <c r="N13" i="4"/>
  <c r="L13" i="4"/>
  <c r="K13" i="4"/>
  <c r="N12" i="4"/>
  <c r="L12" i="4"/>
  <c r="K12" i="4"/>
  <c r="B25" i="5" s="1"/>
  <c r="C25" i="5" s="1"/>
  <c r="N11" i="4"/>
  <c r="K11" i="4"/>
  <c r="B7" i="6" s="1"/>
  <c r="N10" i="4"/>
  <c r="K10" i="4"/>
  <c r="B5" i="6" s="1"/>
  <c r="N9" i="4"/>
  <c r="L9" i="4"/>
  <c r="K9" i="4"/>
  <c r="N8" i="4"/>
  <c r="K8" i="4"/>
  <c r="L8" i="4" s="1"/>
  <c r="N7" i="4"/>
  <c r="K7" i="4"/>
  <c r="L7" i="4" s="1"/>
  <c r="C6" i="6" s="1"/>
  <c r="N6" i="4"/>
  <c r="K6" i="4"/>
  <c r="B19" i="5" s="1"/>
  <c r="C19" i="5" s="1"/>
  <c r="N5" i="4"/>
  <c r="L5" i="4"/>
  <c r="C17" i="6" s="1"/>
  <c r="K5" i="4"/>
  <c r="B17" i="6" s="1"/>
  <c r="N4" i="4"/>
  <c r="C33" i="6" s="1"/>
  <c r="L4" i="4"/>
  <c r="K4" i="4"/>
  <c r="B17" i="5" s="1"/>
  <c r="C17" i="5" s="1"/>
  <c r="B14" i="7" l="1"/>
  <c r="E5" i="6"/>
  <c r="E14" i="6"/>
  <c r="E14" i="7"/>
  <c r="E7" i="6"/>
  <c r="B16" i="7"/>
  <c r="E17" i="6"/>
  <c r="E17" i="7"/>
  <c r="L11" i="4"/>
  <c r="C7" i="6" s="1"/>
  <c r="L6" i="4"/>
  <c r="C16" i="6" s="1"/>
  <c r="B20" i="5"/>
  <c r="C20" i="5" s="1"/>
  <c r="B6" i="6"/>
  <c r="B8" i="6"/>
  <c r="B16" i="6"/>
  <c r="B22" i="6"/>
  <c r="H14" i="7" s="1"/>
  <c r="B26" i="6"/>
  <c r="H18" i="7" s="1"/>
  <c r="B30" i="6"/>
  <c r="H22" i="7" s="1"/>
  <c r="A4" i="7"/>
  <c r="B23" i="5"/>
  <c r="C23" i="5" s="1"/>
  <c r="C8" i="6"/>
  <c r="C26" i="6"/>
  <c r="C30" i="6"/>
  <c r="B23" i="6"/>
  <c r="H15" i="7" s="1"/>
  <c r="B27" i="6"/>
  <c r="H19" i="7" s="1"/>
  <c r="B31" i="6"/>
  <c r="H23" i="7" s="1"/>
  <c r="B21" i="5"/>
  <c r="C21" i="5" s="1"/>
  <c r="C23" i="6"/>
  <c r="C27" i="6"/>
  <c r="C31" i="6"/>
  <c r="G4" i="7"/>
  <c r="L10" i="4"/>
  <c r="C5" i="6" s="1"/>
  <c r="B24" i="5"/>
  <c r="C24" i="5" s="1"/>
  <c r="B9" i="6"/>
  <c r="B15" i="6"/>
  <c r="B24" i="6"/>
  <c r="H16" i="7" s="1"/>
  <c r="B28" i="6"/>
  <c r="H20" i="7" s="1"/>
  <c r="B32" i="6"/>
  <c r="H24" i="7" s="1"/>
  <c r="B8" i="7"/>
  <c r="C9" i="6"/>
  <c r="C24" i="6"/>
  <c r="C28" i="6"/>
  <c r="C32" i="6"/>
  <c r="B25" i="6"/>
  <c r="H17" i="7" s="1"/>
  <c r="B29" i="6"/>
  <c r="H21" i="7" s="1"/>
  <c r="B33" i="6"/>
  <c r="H25" i="7" s="1"/>
  <c r="C25" i="6"/>
  <c r="C29" i="6"/>
  <c r="E16" i="7" l="1"/>
  <c r="E16" i="6"/>
  <c r="C22" i="6"/>
  <c r="E8" i="6"/>
  <c r="B17" i="7"/>
  <c r="E15" i="7"/>
  <c r="E15" i="6"/>
  <c r="B15" i="7"/>
  <c r="E6" i="6"/>
  <c r="B18" i="7"/>
  <c r="E9" i="6"/>
  <c r="C4" i="7"/>
  <c r="C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200-000001000000}">
      <text>
        <r>
          <rPr>
            <sz val="10"/>
            <rFont val="Arial"/>
            <family val="2"/>
          </rPr>
          <t>Assumption: category profit margins. Not in source data — set for this exercise. Update if you have real figures.</t>
        </r>
      </text>
    </comment>
    <comment ref="D3" authorId="0" shapeId="0" xr:uid="{00000000-0006-0000-0200-000002000000}">
      <text>
        <r>
          <rPr>
            <sz val="10"/>
            <rFont val="Arial"/>
            <family val="2"/>
          </rPr>
          <t>Assumption: flat $3,000 quarterly-equivalent target per region, for conditional formatting demo.</t>
        </r>
      </text>
    </comment>
  </commentList>
</comments>
</file>

<file path=xl/sharedStrings.xml><?xml version="1.0" encoding="utf-8"?>
<sst xmlns="http://schemas.openxmlformats.org/spreadsheetml/2006/main" count="5480" uniqueCount="680">
  <si>
    <t>RW Skill — Excel Interactive Dashboard Project</t>
  </si>
  <si>
    <t>Purpose</t>
  </si>
  <si>
    <t>Time Limit</t>
  </si>
  <si>
    <t>3 hours (task sheet, Sr.No.1)</t>
  </si>
  <si>
    <t>Dataset</t>
  </si>
  <si>
    <t>Synthetic retail-sales dataset (see Documentation sheet for why, and what to change if a real Kaggle/UCI file is required)</t>
  </si>
  <si>
    <t>Sheet</t>
  </si>
  <si>
    <t>Maps to Task</t>
  </si>
  <si>
    <t>Raw_Data</t>
  </si>
  <si>
    <t>Task 1 — Dataset Selection &amp; Import (as originally received, messy on purpose)</t>
  </si>
  <si>
    <t>Cleaned_Data</t>
  </si>
  <si>
    <t>Task 2 — Data Cleaning &amp; Preparation (dedup, missing values handled, types formatted)</t>
  </si>
  <si>
    <t>Reference</t>
  </si>
  <si>
    <t>Lookup tables used by formulas (category margin %, region sales targets)</t>
  </si>
  <si>
    <t>Summary_Analysis</t>
  </si>
  <si>
    <t>Task 3 — Pivot-style summary tables (SUMIFS-based — see IMPORTANT note below)</t>
  </si>
  <si>
    <t>Formulas_Demo</t>
  </si>
  <si>
    <t>Task 4 — Advanced Formulas: VLOOKUP, INDEX-MATCH, nested IF, IFERROR</t>
  </si>
  <si>
    <t>Dashboard</t>
  </si>
  <si>
    <t>Task 5 &amp; 6 — Charts, conditional formatting, KPI cards, region filter</t>
  </si>
  <si>
    <t>IMPORTANT</t>
  </si>
  <si>
    <t>openpyxl (the tool used to generate this file) cannot create native Excel PivotTable</t>
  </si>
  <si>
    <t>or Slicer objects. Summary_Analysis uses SUMIFS formulas to reproduce pivot-style output.</t>
  </si>
  <si>
    <t>Your task sheet explicitly asks for 'Create Pivot Tables' and 'Slicers, Timeline' — those are</t>
  </si>
  <si>
    <t>graded items you must add yourself in Excel. Exact steps are on the Documentation sheet.</t>
  </si>
  <si>
    <t>Do this BEFORE submitting, and be ready to explain it live in the viva.</t>
  </si>
  <si>
    <t>Raw_Data — as imported (Task 1: contains duplicates &amp; missing values on purpose)</t>
  </si>
  <si>
    <t>OrderID</t>
  </si>
  <si>
    <t>OrderDate</t>
  </si>
  <si>
    <t>CustomerID</t>
  </si>
  <si>
    <t>CustomerName</t>
  </si>
  <si>
    <t>Region</t>
  </si>
  <si>
    <t>Category</t>
  </si>
  <si>
    <t>Product</t>
  </si>
  <si>
    <t>Quantity</t>
  </si>
  <si>
    <t>UnitPrice</t>
  </si>
  <si>
    <t>Discount</t>
  </si>
  <si>
    <t>Sales</t>
  </si>
  <si>
    <t>Profit</t>
  </si>
  <si>
    <t>ShipMode</t>
  </si>
  <si>
    <t>2024-07-29</t>
  </si>
  <si>
    <t>CUST1146</t>
  </si>
  <si>
    <t>Priya Gupta</t>
  </si>
  <si>
    <t>North</t>
  </si>
  <si>
    <t>Stationery</t>
  </si>
  <si>
    <t>Gel Pen Set</t>
  </si>
  <si>
    <t>Priority</t>
  </si>
  <si>
    <t>2024-02-19</t>
  </si>
  <si>
    <t>CUST1061</t>
  </si>
  <si>
    <t>Vihaan Singh</t>
  </si>
  <si>
    <t>Furniture</t>
  </si>
  <si>
    <t>Study Desk</t>
  </si>
  <si>
    <t>Express</t>
  </si>
  <si>
    <t>2024-07-02</t>
  </si>
  <si>
    <t>CUST1119</t>
  </si>
  <si>
    <t>Aadhya Verma</t>
  </si>
  <si>
    <t>Apparel</t>
  </si>
  <si>
    <t>Running Shoes</t>
  </si>
  <si>
    <t>2024-07-14</t>
  </si>
  <si>
    <t>CUST1039</t>
  </si>
  <si>
    <t>Aadhya Patel</t>
  </si>
  <si>
    <t>West</t>
  </si>
  <si>
    <t>Bookshelf</t>
  </si>
  <si>
    <t>Standard</t>
  </si>
  <si>
    <t>2024-10-13</t>
  </si>
  <si>
    <t>CUST1078</t>
  </si>
  <si>
    <t>Reyansh Joshi</t>
  </si>
  <si>
    <t>Notebook Pack</t>
  </si>
  <si>
    <t>2024-04-29</t>
  </si>
  <si>
    <t>CUST1006</t>
  </si>
  <si>
    <t>Ananya Gupta</t>
  </si>
  <si>
    <t>2024-07-03</t>
  </si>
  <si>
    <t>CUST1003</t>
  </si>
  <si>
    <t>Rohan Gupta</t>
  </si>
  <si>
    <t>East</t>
  </si>
  <si>
    <t>Electronics</t>
  </si>
  <si>
    <t>USB-C Hub</t>
  </si>
  <si>
    <t>2024-08-12</t>
  </si>
  <si>
    <t>CUST1028</t>
  </si>
  <si>
    <t>Riya Sharma</t>
  </si>
  <si>
    <t>Office Chair</t>
  </si>
  <si>
    <t>2024-11-17</t>
  </si>
  <si>
    <t>CUST1147</t>
  </si>
  <si>
    <t>Rohan Singh</t>
  </si>
  <si>
    <t>Filing Cabinet</t>
  </si>
  <si>
    <t>2024-03-22</t>
  </si>
  <si>
    <t>CUST1073</t>
  </si>
  <si>
    <t>Krishna Patel</t>
  </si>
  <si>
    <t>2024-10-28</t>
  </si>
  <si>
    <t>CUST1076</t>
  </si>
  <si>
    <t>Sai Singh</t>
  </si>
  <si>
    <t>Central</t>
  </si>
  <si>
    <t>2024-12-24</t>
  </si>
  <si>
    <t>CUST1108</t>
  </si>
  <si>
    <t>Vivaan Joshi</t>
  </si>
  <si>
    <t>Laptop Stand</t>
  </si>
  <si>
    <t>2024-02-16</t>
  </si>
  <si>
    <t>CUST1047</t>
  </si>
  <si>
    <t>Aarav Mehta</t>
  </si>
  <si>
    <t>Sofa Cushion</t>
  </si>
  <si>
    <t>2024-03-19</t>
  </si>
  <si>
    <t>CUST1060</t>
  </si>
  <si>
    <t>Isha Reddy</t>
  </si>
  <si>
    <t>2024-08-08</t>
  </si>
  <si>
    <t>CUST1138</t>
  </si>
  <si>
    <t>Diya Joshi</t>
  </si>
  <si>
    <t>Marker Set</t>
  </si>
  <si>
    <t>2024-06-16</t>
  </si>
  <si>
    <t>CUST1031</t>
  </si>
  <si>
    <t>Arjun Joshi</t>
  </si>
  <si>
    <t>2024-08-24</t>
  </si>
  <si>
    <t>CUST1094</t>
  </si>
  <si>
    <t>Kavya Reddy</t>
  </si>
  <si>
    <t>2024-02-07</t>
  </si>
  <si>
    <t>CUST1111</t>
  </si>
  <si>
    <t>Priya Mehta</t>
  </si>
  <si>
    <t>2024-08-19</t>
  </si>
  <si>
    <t>CUST1033</t>
  </si>
  <si>
    <t>Rohan Joshi</t>
  </si>
  <si>
    <t>2024-05-28</t>
  </si>
  <si>
    <t>CUST1062</t>
  </si>
  <si>
    <t>Kavya Gupta</t>
  </si>
  <si>
    <t>2024-12-03</t>
  </si>
  <si>
    <t>CUST1110</t>
  </si>
  <si>
    <t>Ananya Patel</t>
  </si>
  <si>
    <t>South</t>
  </si>
  <si>
    <t>Wireless Mouse</t>
  </si>
  <si>
    <t>2024-07-08</t>
  </si>
  <si>
    <t>CUST1037</t>
  </si>
  <si>
    <t>Vivaan Mehta</t>
  </si>
  <si>
    <t>2024-04-20</t>
  </si>
  <si>
    <t>CUST1015</t>
  </si>
  <si>
    <t>Vivaan Gupta</t>
  </si>
  <si>
    <t>Cotton T-Shirt</t>
  </si>
  <si>
    <t>2024-04-12</t>
  </si>
  <si>
    <t>CUST1034</t>
  </si>
  <si>
    <t>Ananya Reddy</t>
  </si>
  <si>
    <t>2024-10-04</t>
  </si>
  <si>
    <t>CUST1027</t>
  </si>
  <si>
    <t>Rohan Verma</t>
  </si>
  <si>
    <t>2024-06-17</t>
  </si>
  <si>
    <t>CUST1131</t>
  </si>
  <si>
    <t>Isha Singh</t>
  </si>
  <si>
    <t>2024-05-19</t>
  </si>
  <si>
    <t>CUST1134</t>
  </si>
  <si>
    <t>Riya Yadav</t>
  </si>
  <si>
    <t>Sticky Notes</t>
  </si>
  <si>
    <t>2024-07-09</t>
  </si>
  <si>
    <t>Ishaan Verma</t>
  </si>
  <si>
    <t>Denim Jacket</t>
  </si>
  <si>
    <t>2024-11-03</t>
  </si>
  <si>
    <t>CUST1010</t>
  </si>
  <si>
    <t>Myra Gupta</t>
  </si>
  <si>
    <t>2024-06-07</t>
  </si>
  <si>
    <t>CUST1046</t>
  </si>
  <si>
    <t>Diya Patel</t>
  </si>
  <si>
    <t>Whiteboard</t>
  </si>
  <si>
    <t>2024-05-15</t>
  </si>
  <si>
    <t>CUST1055</t>
  </si>
  <si>
    <t>Isha Yadav</t>
  </si>
  <si>
    <t>2024-04-16</t>
  </si>
  <si>
    <t>CUST1058</t>
  </si>
  <si>
    <t>Sai Reddy</t>
  </si>
  <si>
    <t>2024-12-01</t>
  </si>
  <si>
    <t>CUST1004</t>
  </si>
  <si>
    <t>Riya Gupta</t>
  </si>
  <si>
    <t>2024-01-22</t>
  </si>
  <si>
    <t>CUST1141</t>
  </si>
  <si>
    <t>2024-02-24</t>
  </si>
  <si>
    <t>CUST1070</t>
  </si>
  <si>
    <t>Ishaan Yadav</t>
  </si>
  <si>
    <t>2024-05-13</t>
  </si>
  <si>
    <t>CUST1096</t>
  </si>
  <si>
    <t>2024-12-19</t>
  </si>
  <si>
    <t>CUST1143</t>
  </si>
  <si>
    <t>Diya Nair</t>
  </si>
  <si>
    <t>2024-07-07</t>
  </si>
  <si>
    <t>CUST1054</t>
  </si>
  <si>
    <t>Aarav Joshi</t>
  </si>
  <si>
    <t>CUST1017</t>
  </si>
  <si>
    <t>Anika Gupta</t>
  </si>
  <si>
    <t>2024-12-11</t>
  </si>
  <si>
    <t>CUST1101</t>
  </si>
  <si>
    <t>Krishna Singh</t>
  </si>
  <si>
    <t>2024-01-01</t>
  </si>
  <si>
    <t>2024-08-21</t>
  </si>
  <si>
    <t>CUST1095</t>
  </si>
  <si>
    <t>2024-12-25</t>
  </si>
  <si>
    <t>CUST1128</t>
  </si>
  <si>
    <t>Aadhya Yadav</t>
  </si>
  <si>
    <t>2024-08-28</t>
  </si>
  <si>
    <t>2024-09-23</t>
  </si>
  <si>
    <t>CUST1115</t>
  </si>
  <si>
    <t>Kavya Patel</t>
  </si>
  <si>
    <t>2024-11-14</t>
  </si>
  <si>
    <t>CUST1063</t>
  </si>
  <si>
    <t>Reyansh Reddy</t>
  </si>
  <si>
    <t>CUST1012</t>
  </si>
  <si>
    <t>Myra Mehta</t>
  </si>
  <si>
    <t>2024-03-08</t>
  </si>
  <si>
    <t>CUST1032</t>
  </si>
  <si>
    <t>Anika Singh</t>
  </si>
  <si>
    <t>Bluetooth Speaker</t>
  </si>
  <si>
    <t>2024-01-04</t>
  </si>
  <si>
    <t>CUST1139</t>
  </si>
  <si>
    <t>Vihaan Sharma</t>
  </si>
  <si>
    <t>2024-05-31</t>
  </si>
  <si>
    <t>2024-10-09</t>
  </si>
  <si>
    <t>Sai Joshi</t>
  </si>
  <si>
    <t>2024-04-18</t>
  </si>
  <si>
    <t>CUST1082</t>
  </si>
  <si>
    <t>Sai Sharma</t>
  </si>
  <si>
    <t>2024-05-26</t>
  </si>
  <si>
    <t>CUST1080</t>
  </si>
  <si>
    <t>Diya Reddy</t>
  </si>
  <si>
    <t>2024-05-14</t>
  </si>
  <si>
    <t>Arjun Nair</t>
  </si>
  <si>
    <t>Cap</t>
  </si>
  <si>
    <t>2024-07-13</t>
  </si>
  <si>
    <t>CUST1118</t>
  </si>
  <si>
    <t>Isha Gupta</t>
  </si>
  <si>
    <t>CUST1120</t>
  </si>
  <si>
    <t>2024-01-24</t>
  </si>
  <si>
    <t>CUST1079</t>
  </si>
  <si>
    <t>Aditya Reddy</t>
  </si>
  <si>
    <t>2024-09-05</t>
  </si>
  <si>
    <t>CUST1075</t>
  </si>
  <si>
    <t>Myra Yadav</t>
  </si>
  <si>
    <t>2024-10-20</t>
  </si>
  <si>
    <t>CUST1066</t>
  </si>
  <si>
    <t>Vivaan Yadav</t>
  </si>
  <si>
    <t>2024-11-16</t>
  </si>
  <si>
    <t>CUST1117</t>
  </si>
  <si>
    <t>Diya Mehta</t>
  </si>
  <si>
    <t>2024-09-28</t>
  </si>
  <si>
    <t>Sai Verma</t>
  </si>
  <si>
    <t>CUST1042</t>
  </si>
  <si>
    <t>2024-02-21</t>
  </si>
  <si>
    <t>CUST1044</t>
  </si>
  <si>
    <t>Krishna Joshi</t>
  </si>
  <si>
    <t>2024-09-12</t>
  </si>
  <si>
    <t>CUST1097</t>
  </si>
  <si>
    <t>Krishna Yadav</t>
  </si>
  <si>
    <t>2024-11-23</t>
  </si>
  <si>
    <t>CUST1142</t>
  </si>
  <si>
    <t>CUST1016</t>
  </si>
  <si>
    <t>Aditya Yadav</t>
  </si>
  <si>
    <t>2024-05-23</t>
  </si>
  <si>
    <t>Anika Patel</t>
  </si>
  <si>
    <t>2024-07-06</t>
  </si>
  <si>
    <t>CUST1049</t>
  </si>
  <si>
    <t>2024-03-26</t>
  </si>
  <si>
    <t>CUST1116</t>
  </si>
  <si>
    <t>Ananya Singh</t>
  </si>
  <si>
    <t>2024-07-21</t>
  </si>
  <si>
    <t>CUST1144</t>
  </si>
  <si>
    <t>Vihaan Nair</t>
  </si>
  <si>
    <t>2024-10-29</t>
  </si>
  <si>
    <t>CUST1001</t>
  </si>
  <si>
    <t>Isha Sharma</t>
  </si>
  <si>
    <t>CUST1040</t>
  </si>
  <si>
    <t>Aadhya Mehta</t>
  </si>
  <si>
    <t>2024-01-18</t>
  </si>
  <si>
    <t>Sai Gupta</t>
  </si>
  <si>
    <t>2024-12-16</t>
  </si>
  <si>
    <t>CUST1008</t>
  </si>
  <si>
    <t>Aditya Gupta</t>
  </si>
  <si>
    <t>CUST1041</t>
  </si>
  <si>
    <t>Anika Sharma</t>
  </si>
  <si>
    <t>2024-03-07</t>
  </si>
  <si>
    <t>CUST1035</t>
  </si>
  <si>
    <t>Kavya Nair</t>
  </si>
  <si>
    <t>2024-06-22</t>
  </si>
  <si>
    <t>CUST1051</t>
  </si>
  <si>
    <t>Vivaan Sharma</t>
  </si>
  <si>
    <t>2024-03-14</t>
  </si>
  <si>
    <t>CUST1100</t>
  </si>
  <si>
    <t>Diya Verma</t>
  </si>
  <si>
    <t>2024-10-03</t>
  </si>
  <si>
    <t>Krishna Gupta</t>
  </si>
  <si>
    <t>CUST1129</t>
  </si>
  <si>
    <t>2024-10-10</t>
  </si>
  <si>
    <t>CUST1025</t>
  </si>
  <si>
    <t>2024-02-06</t>
  </si>
  <si>
    <t>Rohan Patel</t>
  </si>
  <si>
    <t>CUST1098</t>
  </si>
  <si>
    <t>Arjun Reddy</t>
  </si>
  <si>
    <t>2024-06-27</t>
  </si>
  <si>
    <t>Riya Mehta</t>
  </si>
  <si>
    <t>2024-09-25</t>
  </si>
  <si>
    <t>CUST1102</t>
  </si>
  <si>
    <t>2024-01-07</t>
  </si>
  <si>
    <t>Vivaan Singh</t>
  </si>
  <si>
    <t>2024-10-01</t>
  </si>
  <si>
    <t>CUST1133</t>
  </si>
  <si>
    <t>CUST1125</t>
  </si>
  <si>
    <t>Diya Yadav</t>
  </si>
  <si>
    <t>CUST1029</t>
  </si>
  <si>
    <t>2024-06-09</t>
  </si>
  <si>
    <t>CUST1030</t>
  </si>
  <si>
    <t>2024-03-13</t>
  </si>
  <si>
    <t>CUST1135</t>
  </si>
  <si>
    <t>Priya Patel</t>
  </si>
  <si>
    <t>Webcam</t>
  </si>
  <si>
    <t>2024-04-09</t>
  </si>
  <si>
    <t>CUST1145</t>
  </si>
  <si>
    <t>Reyansh Patel</t>
  </si>
  <si>
    <t>2024-10-27</t>
  </si>
  <si>
    <t>Ishaan Sharma</t>
  </si>
  <si>
    <t>2024-04-06</t>
  </si>
  <si>
    <t>CUST1092</t>
  </si>
  <si>
    <t>Aarav Gupta</t>
  </si>
  <si>
    <t>2024-01-17</t>
  </si>
  <si>
    <t>CUST1020</t>
  </si>
  <si>
    <t>Reyansh Nair</t>
  </si>
  <si>
    <t>2024-11-27</t>
  </si>
  <si>
    <t>CUST1130</t>
  </si>
  <si>
    <t>Priya Nair</t>
  </si>
  <si>
    <t>2024-08-14</t>
  </si>
  <si>
    <t>CUST1137</t>
  </si>
  <si>
    <t>Myra Verma</t>
  </si>
  <si>
    <t>CUST1089</t>
  </si>
  <si>
    <t>Kavya Singh</t>
  </si>
  <si>
    <t>2024-05-03</t>
  </si>
  <si>
    <t>2024-10-19</t>
  </si>
  <si>
    <t>CUST1021</t>
  </si>
  <si>
    <t>Vihaan Yadav</t>
  </si>
  <si>
    <t>CUST1105</t>
  </si>
  <si>
    <t>Aadhya Singh</t>
  </si>
  <si>
    <t>2024-08-18</t>
  </si>
  <si>
    <t>CUST1083</t>
  </si>
  <si>
    <t>Rohan Reddy</t>
  </si>
  <si>
    <t>2024-09-15</t>
  </si>
  <si>
    <t>2024-10-30</t>
  </si>
  <si>
    <t>CUST1132</t>
  </si>
  <si>
    <t>Aditya Joshi</t>
  </si>
  <si>
    <t>2024-05-07</t>
  </si>
  <si>
    <t>CUST1023</t>
  </si>
  <si>
    <t>Vivaan Patel</t>
  </si>
  <si>
    <t>2024-03-30</t>
  </si>
  <si>
    <t>CUST1088</t>
  </si>
  <si>
    <t>Kavya Verma</t>
  </si>
  <si>
    <t>2024-07-12</t>
  </si>
  <si>
    <t>Aditya Sharma</t>
  </si>
  <si>
    <t>2024-06-01</t>
  </si>
  <si>
    <t>Ananya Nair</t>
  </si>
  <si>
    <t>2024-02-02</t>
  </si>
  <si>
    <t>CUST1124</t>
  </si>
  <si>
    <t>2024-11-21</t>
  </si>
  <si>
    <t>Sai Mehta</t>
  </si>
  <si>
    <t>2024-10-06</t>
  </si>
  <si>
    <t>CUST1013</t>
  </si>
  <si>
    <t>Reyansh Sharma</t>
  </si>
  <si>
    <t>2024-09-26</t>
  </si>
  <si>
    <t>2024-09-16</t>
  </si>
  <si>
    <t>CUST1014</t>
  </si>
  <si>
    <t>Sai Nair</t>
  </si>
  <si>
    <t>Vihaan Patel</t>
  </si>
  <si>
    <t>CUST1086</t>
  </si>
  <si>
    <t>2024-07-10</t>
  </si>
  <si>
    <t>CUST1103</t>
  </si>
  <si>
    <t>2024-10-18</t>
  </si>
  <si>
    <t>Saanvi Joshi</t>
  </si>
  <si>
    <t>2024-11-04</t>
  </si>
  <si>
    <t>CUST1052</t>
  </si>
  <si>
    <t>2024-07-01</t>
  </si>
  <si>
    <t>Wool Sweater</t>
  </si>
  <si>
    <t>CUST1112</t>
  </si>
  <si>
    <t>Reyansh Singh</t>
  </si>
  <si>
    <t>2024-02-28</t>
  </si>
  <si>
    <t>Riya Singh</t>
  </si>
  <si>
    <t>2024-03-15</t>
  </si>
  <si>
    <t>CUST1122</t>
  </si>
  <si>
    <t>CUST1056</t>
  </si>
  <si>
    <t>Saanvi Sharma</t>
  </si>
  <si>
    <t>2024-03-18</t>
  </si>
  <si>
    <t>CUST1064</t>
  </si>
  <si>
    <t>2024-12-14</t>
  </si>
  <si>
    <t>CUST1005</t>
  </si>
  <si>
    <t>Saanvi Patel</t>
  </si>
  <si>
    <t>2024-01-15</t>
  </si>
  <si>
    <t>2024-08-10</t>
  </si>
  <si>
    <t>Riya Reddy</t>
  </si>
  <si>
    <t>CUST1077</t>
  </si>
  <si>
    <t>Aadhya Joshi</t>
  </si>
  <si>
    <t>CUST1011</t>
  </si>
  <si>
    <t>2024-10-08</t>
  </si>
  <si>
    <t>CUST1024</t>
  </si>
  <si>
    <t>2024-10-02</t>
  </si>
  <si>
    <t>Vivaan Nair</t>
  </si>
  <si>
    <t>2024-09-11</t>
  </si>
  <si>
    <t>CUST1109</t>
  </si>
  <si>
    <t>2024-04-19</t>
  </si>
  <si>
    <t>CUST1074</t>
  </si>
  <si>
    <t>Ishaan Singh</t>
  </si>
  <si>
    <t>2024-06-14</t>
  </si>
  <si>
    <t>CUST1000</t>
  </si>
  <si>
    <t>Kavya Mehta</t>
  </si>
  <si>
    <t>2024-09-18</t>
  </si>
  <si>
    <t>2024-11-26</t>
  </si>
  <si>
    <t>CUST1149</t>
  </si>
  <si>
    <t>2024-01-25</t>
  </si>
  <si>
    <t>2024-12-08</t>
  </si>
  <si>
    <t>CUST1018</t>
  </si>
  <si>
    <t>Kavya Sharma</t>
  </si>
  <si>
    <t>2024-09-09</t>
  </si>
  <si>
    <t>CUST1059</t>
  </si>
  <si>
    <t>Riya Joshi</t>
  </si>
  <si>
    <t>2024-11-01</t>
  </si>
  <si>
    <t>2024-07-31</t>
  </si>
  <si>
    <t>CUST1043</t>
  </si>
  <si>
    <t>2024-08-16</t>
  </si>
  <si>
    <t>Ishaan Joshi</t>
  </si>
  <si>
    <t>2024-08-17</t>
  </si>
  <si>
    <t>CUST1113</t>
  </si>
  <si>
    <t>2024-12-15</t>
  </si>
  <si>
    <t>CUST1038</t>
  </si>
  <si>
    <t>Arjun Gupta</t>
  </si>
  <si>
    <t>2024-02-25</t>
  </si>
  <si>
    <t>CUST1126</t>
  </si>
  <si>
    <t>Aditya Patel</t>
  </si>
  <si>
    <t>2024-09-17</t>
  </si>
  <si>
    <t>2024-08-04</t>
  </si>
  <si>
    <t>CUST1022</t>
  </si>
  <si>
    <t>Priya Verma</t>
  </si>
  <si>
    <t>2024-12-17</t>
  </si>
  <si>
    <t>CUST1084</t>
  </si>
  <si>
    <t>2024-08-25</t>
  </si>
  <si>
    <t>CUST1053</t>
  </si>
  <si>
    <t>Anika Reddy</t>
  </si>
  <si>
    <t>CUST1050</t>
  </si>
  <si>
    <t>2024-11-30</t>
  </si>
  <si>
    <t>2024-07-19</t>
  </si>
  <si>
    <t>Kavya Joshi</t>
  </si>
  <si>
    <t>2024-04-28</t>
  </si>
  <si>
    <t>2024-04-02</t>
  </si>
  <si>
    <t>CUST1104</t>
  </si>
  <si>
    <t>Krishna Reddy</t>
  </si>
  <si>
    <t>2024-04-05</t>
  </si>
  <si>
    <t>Saanvi Verma</t>
  </si>
  <si>
    <t>2024-09-29</t>
  </si>
  <si>
    <t>CUST1067</t>
  </si>
  <si>
    <t>Saanvi Reddy</t>
  </si>
  <si>
    <t>2024-12-22</t>
  </si>
  <si>
    <t>Aarav Verma</t>
  </si>
  <si>
    <t>2024-03-25</t>
  </si>
  <si>
    <t>Ishaan Gupta</t>
  </si>
  <si>
    <t>2024-11-22</t>
  </si>
  <si>
    <t>Priya Singh</t>
  </si>
  <si>
    <t>2024-06-20</t>
  </si>
  <si>
    <t>CUST1019</t>
  </si>
  <si>
    <t>Riya Verma</t>
  </si>
  <si>
    <t>CUST1072</t>
  </si>
  <si>
    <t>Aadhya Gupta</t>
  </si>
  <si>
    <t>2024-02-13</t>
  </si>
  <si>
    <t>Riya Nair</t>
  </si>
  <si>
    <t>CUST1026</t>
  </si>
  <si>
    <t>2024-08-29</t>
  </si>
  <si>
    <t>Saanvi Gupta</t>
  </si>
  <si>
    <t>2024-09-07</t>
  </si>
  <si>
    <t>2024-07-20</t>
  </si>
  <si>
    <t>2024-09-04</t>
  </si>
  <si>
    <t>CUST1069</t>
  </si>
  <si>
    <t>Aditya Singh</t>
  </si>
  <si>
    <t>Diya Singh</t>
  </si>
  <si>
    <t>2024-11-24</t>
  </si>
  <si>
    <t>CUST1068</t>
  </si>
  <si>
    <t>Vihaan Mehta</t>
  </si>
  <si>
    <t>2024-10-17</t>
  </si>
  <si>
    <t>Priya Yadav</t>
  </si>
  <si>
    <t>2024-12-12</t>
  </si>
  <si>
    <t>Krishna Nair</t>
  </si>
  <si>
    <t>CUST1009</t>
  </si>
  <si>
    <t>2024-05-20</t>
  </si>
  <si>
    <t>Krishna Mehta</t>
  </si>
  <si>
    <t>2024-03-31</t>
  </si>
  <si>
    <t>CUST1121</t>
  </si>
  <si>
    <t>2024-05-11</t>
  </si>
  <si>
    <t>2024-05-12</t>
  </si>
  <si>
    <t>Aditya Mehta</t>
  </si>
  <si>
    <t>2024-06-25</t>
  </si>
  <si>
    <t>CUST1127</t>
  </si>
  <si>
    <t>Aditya Verma</t>
  </si>
  <si>
    <t>2024-06-30</t>
  </si>
  <si>
    <t>CUST1045</t>
  </si>
  <si>
    <t>Ananya Joshi</t>
  </si>
  <si>
    <t>CUST1106</t>
  </si>
  <si>
    <t>Saanvi Singh</t>
  </si>
  <si>
    <t>CUST1002</t>
  </si>
  <si>
    <t>2024-11-13</t>
  </si>
  <si>
    <t>Rohan Yadav</t>
  </si>
  <si>
    <t>2024-06-24</t>
  </si>
  <si>
    <t>2024-11-10</t>
  </si>
  <si>
    <t>2024-09-01</t>
  </si>
  <si>
    <t>CUST1071</t>
  </si>
  <si>
    <t>Ishaan Mehta</t>
  </si>
  <si>
    <t>2024-08-27</t>
  </si>
  <si>
    <t>2024-06-08</t>
  </si>
  <si>
    <t>CUST1136</t>
  </si>
  <si>
    <t>Vivaan Verma</t>
  </si>
  <si>
    <t>2024-06-12</t>
  </si>
  <si>
    <t>Krishna Verma</t>
  </si>
  <si>
    <t>2024-03-09</t>
  </si>
  <si>
    <t>CUST1007</t>
  </si>
  <si>
    <t>Reyansh Gupta</t>
  </si>
  <si>
    <t>Aadhya Nair</t>
  </si>
  <si>
    <t>2024-09-22</t>
  </si>
  <si>
    <t>2024-06-19</t>
  </si>
  <si>
    <t>Isha Mehta</t>
  </si>
  <si>
    <t>Aarav Nair</t>
  </si>
  <si>
    <t>2024-03-10</t>
  </si>
  <si>
    <t>2024-08-11</t>
  </si>
  <si>
    <t>Riya Patel</t>
  </si>
  <si>
    <t>2024-02-18</t>
  </si>
  <si>
    <t>2024-05-30</t>
  </si>
  <si>
    <t>Myra Patel</t>
  </si>
  <si>
    <t>2024-08-31</t>
  </si>
  <si>
    <t>Ishaan Reddy</t>
  </si>
  <si>
    <t>2024-07-28</t>
  </si>
  <si>
    <t>CUST1036</t>
  </si>
  <si>
    <t>2024-08-03</t>
  </si>
  <si>
    <t>CUST1057</t>
  </si>
  <si>
    <t>2024-08-02</t>
  </si>
  <si>
    <t>Aarav Yadav</t>
  </si>
  <si>
    <t>2024-01-29</t>
  </si>
  <si>
    <t>2024-01-23</t>
  </si>
  <si>
    <t>CUST1085</t>
  </si>
  <si>
    <t>2024-04-24</t>
  </si>
  <si>
    <t>Ishaan Patel</t>
  </si>
  <si>
    <t>CUST1048</t>
  </si>
  <si>
    <t>2024-06-03</t>
  </si>
  <si>
    <t>CUST1091</t>
  </si>
  <si>
    <t>2024-11-08</t>
  </si>
  <si>
    <t>2024-07-22</t>
  </si>
  <si>
    <t>Aditya Nair</t>
  </si>
  <si>
    <t>2024-08-09</t>
  </si>
  <si>
    <t>2024-09-27</t>
  </si>
  <si>
    <t>2024-06-10</t>
  </si>
  <si>
    <t>2024-06-26</t>
  </si>
  <si>
    <t>CUST1148</t>
  </si>
  <si>
    <t>2024-04-08</t>
  </si>
  <si>
    <t>Arjun Singh</t>
  </si>
  <si>
    <t>2024-06-23</t>
  </si>
  <si>
    <t>CUST1107</t>
  </si>
  <si>
    <t>Ishaan Nair</t>
  </si>
  <si>
    <t>2024-04-22</t>
  </si>
  <si>
    <t>2024-06-02</t>
  </si>
  <si>
    <t>Reyansh Yadav</t>
  </si>
  <si>
    <t>2024-05-02</t>
  </si>
  <si>
    <t>2024-11-15</t>
  </si>
  <si>
    <t>Saanvi Nair</t>
  </si>
  <si>
    <t>2024-01-11</t>
  </si>
  <si>
    <t>Vihaan Gupta</t>
  </si>
  <si>
    <t>2024-01-20</t>
  </si>
  <si>
    <t>2024-05-16</t>
  </si>
  <si>
    <t>2024-04-17</t>
  </si>
  <si>
    <t>2024-11-11</t>
  </si>
  <si>
    <t>2024-03-05</t>
  </si>
  <si>
    <t>CUST1140</t>
  </si>
  <si>
    <t>2024-08-22</t>
  </si>
  <si>
    <t>2024-10-25</t>
  </si>
  <si>
    <t>Vihaan Reddy</t>
  </si>
  <si>
    <t>2024-12-26</t>
  </si>
  <si>
    <t>2024-11-12</t>
  </si>
  <si>
    <t>CUST1081</t>
  </si>
  <si>
    <t>2024-07-25</t>
  </si>
  <si>
    <t>Priya Joshi</t>
  </si>
  <si>
    <t>2024-07-11</t>
  </si>
  <si>
    <t>2024-04-11</t>
  </si>
  <si>
    <t>Aarav Patel</t>
  </si>
  <si>
    <t>Vivaan Reddy</t>
  </si>
  <si>
    <t>2024-07-24</t>
  </si>
  <si>
    <t>CUST1090</t>
  </si>
  <si>
    <t>2024-07-30</t>
  </si>
  <si>
    <t>CUST1099</t>
  </si>
  <si>
    <t>2024-04-26</t>
  </si>
  <si>
    <t>2024-02-08</t>
  </si>
  <si>
    <t>2024-02-17</t>
  </si>
  <si>
    <t>2024-09-10</t>
  </si>
  <si>
    <t>2024-12-21</t>
  </si>
  <si>
    <t>Aarav Sharma</t>
  </si>
  <si>
    <t>2024-05-04</t>
  </si>
  <si>
    <t>2024-12-28</t>
  </si>
  <si>
    <t>2024-03-20</t>
  </si>
  <si>
    <t>Anika Mehta</t>
  </si>
  <si>
    <t>2024-08-20</t>
  </si>
  <si>
    <t>Priya Sharma</t>
  </si>
  <si>
    <t>Aadhya Sharma</t>
  </si>
  <si>
    <t>Sai Yadav</t>
  </si>
  <si>
    <t>Arjun Sharma</t>
  </si>
  <si>
    <t>Krishna Sharma</t>
  </si>
  <si>
    <t>2024-09-21</t>
  </si>
  <si>
    <t>Rohan Mehta</t>
  </si>
  <si>
    <t>2024-08-01</t>
  </si>
  <si>
    <t>2024-01-14</t>
  </si>
  <si>
    <t>CUST1087</t>
  </si>
  <si>
    <t>2024-12-06</t>
  </si>
  <si>
    <t>2024-07-17</t>
  </si>
  <si>
    <t>Vihaan Joshi</t>
  </si>
  <si>
    <t>2024-03-21</t>
  </si>
  <si>
    <t>CUST1065</t>
  </si>
  <si>
    <t>2024-12-10</t>
  </si>
  <si>
    <t>CUST1114</t>
  </si>
  <si>
    <t>Isha Nair</t>
  </si>
  <si>
    <t>2024-09-02</t>
  </si>
  <si>
    <t>CUST1093</t>
  </si>
  <si>
    <t>2024-10-23</t>
  </si>
  <si>
    <t>Reyansh Verma</t>
  </si>
  <si>
    <t>2024-09-20</t>
  </si>
  <si>
    <t>2024-11-05</t>
  </si>
  <si>
    <t>Aadhya Reddy</t>
  </si>
  <si>
    <t>2024-02-03</t>
  </si>
  <si>
    <t>2024-03-01</t>
  </si>
  <si>
    <t>2024-11-02</t>
  </si>
  <si>
    <t>CUST1123</t>
  </si>
  <si>
    <t>2024-06-06</t>
  </si>
  <si>
    <t>2024-04-25</t>
  </si>
  <si>
    <t>2024-02-01</t>
  </si>
  <si>
    <t>Isha Joshi</t>
  </si>
  <si>
    <t>2024-08-13</t>
  </si>
  <si>
    <t>2024-01-26</t>
  </si>
  <si>
    <t>2024-02-23</t>
  </si>
  <si>
    <t>Isha Patel</t>
  </si>
  <si>
    <t>2024-07-26</t>
  </si>
  <si>
    <t>2024-04-13</t>
  </si>
  <si>
    <t>2024-07-16</t>
  </si>
  <si>
    <t>2024-06-15</t>
  </si>
  <si>
    <t>Reference — lookup tables used across the workbook</t>
  </si>
  <si>
    <t>Margin %</t>
  </si>
  <si>
    <t>Sales Target ($)</t>
  </si>
  <si>
    <t>Cleaned_Data — Task 2 output (deduped, missing rows removed, types formatted)</t>
  </si>
  <si>
    <t>OrderMonth</t>
  </si>
  <si>
    <t>Formulas_Demo — Task 4: Advanced Formulas (VLOOKUP, INDEX-MATCH, nested IF, IFERROR)</t>
  </si>
  <si>
    <t>1) VLOOKUP — get Category Margin % from the Reference sheet</t>
  </si>
  <si>
    <t>Type a category:</t>
  </si>
  <si>
    <t>Formula (in B5):</t>
  </si>
  <si>
    <t>Result:</t>
  </si>
  <si>
    <t>2) INDEX-MATCH — get Region Sales Target from the Reference sheet</t>
  </si>
  <si>
    <t>Type a region:</t>
  </si>
  <si>
    <t>Formula (in B11):</t>
  </si>
  <si>
    <t>Why INDEX-MATCH here:</t>
  </si>
  <si>
    <t>Works left-to-right or right-to-left (VLOOKUP can't look right-to-find-left); faster on large sheets.</t>
  </si>
  <si>
    <t>3) Nested IF — classify order performance from the first 10 cleaned orders</t>
  </si>
  <si>
    <t>Performance Tier</t>
  </si>
  <si>
    <t>Rule</t>
  </si>
  <si>
    <t>Rule: &gt;150 High, &gt;75 Medium, else Low</t>
  </si>
  <si>
    <t>Summary_Analysis — Task 3: Pivot-style summaries (SUMIFS/COUNTIFS)</t>
  </si>
  <si>
    <t>Region-wise Summary</t>
  </si>
  <si>
    <t>Total Sales</t>
  </si>
  <si>
    <t>Total Profit</t>
  </si>
  <si>
    <t>Order Count</t>
  </si>
  <si>
    <t>Avg Order Value</t>
  </si>
  <si>
    <t>Category-wise Summary</t>
  </si>
  <si>
    <t>Month-wise Sales Trend (2024)</t>
  </si>
  <si>
    <t>Month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</si>
  <si>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</si>
  <si>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</si>
  <si>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</si>
  <si>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</si>
  <si>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</si>
  <si>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</si>
  <si>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</si>
  <si>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</si>
  <si>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</si>
  <si>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</si>
  <si>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</si>
  <si>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</si>
  <si>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Sales Dashboard — Task 5 &amp; 6: Charts, Conditional Formatting, KPIs, Filter</t>
  </si>
  <si>
    <t>Total Orders</t>
  </si>
  <si>
    <t>Interactive Filter</t>
  </si>
  <si>
    <t>Select Region:</t>
  </si>
  <si>
    <t>All</t>
  </si>
  <si>
    <t>Filtered Sales:</t>
  </si>
  <si>
    <t>Filtered Orders:</t>
  </si>
  <si>
    <t>Note:</t>
  </si>
  <si>
    <t>This dropdown drives the two cells above via IF/SUMIFS. For a real click-and-filter Slicer, follow Documentation sheet steps.</t>
  </si>
  <si>
    <t>Chart Source: Region Sales</t>
  </si>
  <si>
    <t>Chart Source: Category Sales</t>
  </si>
  <si>
    <t>Chart Source: Monthly Trend</t>
  </si>
  <si>
    <t>This workbook completes the 6-task assignment shown in your task sheet, in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</si>
</sst>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yyyy\-mm\-dd"/>
    <numFmt numFmtId="167" formatCode="\$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3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D966"/>
        <bgColor rgb="FFFFFF99"/>
      </patternFill>
    </fill>
    <fill>
      <patternFill patternType="solid">
        <fgColor rgb="FFD9E1F2"/>
        <bgColor rgb="FFD9D9D9"/>
      </patternFill>
    </fill>
    <fill>
      <patternFill patternType="solid">
        <fgColor rgb="FF1F4E78"/>
        <bgColor rgb="FF30549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0" fontId="3" fillId="4" borderId="0" xfId="0" applyFont="1" applyFill="1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0" fontId="6" fillId="0" borderId="0" xfId="0" applyFont="1"/>
    <xf numFmtId="164" fontId="4" fillId="0" borderId="0" xfId="0" applyNumberFormat="1" applyFont="1"/>
    <xf numFmtId="0" fontId="0" fillId="0" borderId="0" xfId="0" applyAlignment="1">
      <alignment wrapText="1"/>
    </xf>
    <xf numFmtId="0" fontId="6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4E78"/>
      <rgbColor rgb="FF4F81BD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Dashboard!$B$14:$B$18</c:f>
              <c:numCache>
                <c:formatCode>\$#,##0.00</c:formatCode>
                <c:ptCount val="5"/>
                <c:pt idx="0">
                  <c:v>12826.569999999996</c:v>
                </c:pt>
                <c:pt idx="1">
                  <c:v>12192.13</c:v>
                </c:pt>
                <c:pt idx="2">
                  <c:v>10840.839999999998</c:v>
                </c:pt>
                <c:pt idx="3">
                  <c:v>13643.61</c:v>
                </c:pt>
                <c:pt idx="4">
                  <c:v>12435.629999999997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0-4ED4-BE7E-634EAC8F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06430"/>
        <c:axId val="99012810"/>
      </c:barChart>
      <c:catAx>
        <c:axId val="41506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12810"/>
        <c:crosses val="autoZero"/>
        <c:auto val="1"/>
        <c:lblAlgn val="ctr"/>
        <c:lblOffset val="100"/>
        <c:noMultiLvlLbl val="0"/>
      </c:catAx>
      <c:valAx>
        <c:axId val="99012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06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CD9-4537-B5CB-C0565775969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CD9-4537-B5CB-C0565775969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CD9-4537-B5CB-C0565775969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CD9-4537-B5CB-C0565775969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CD9-4537-B5CB-C0565775969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CD9-4537-B5CB-C0565775969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CD9-4537-B5CB-C0565775969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CD9-4537-B5CB-C056577596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Dashboard!$D$14:$D$17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Apparel</c:v>
                </c:pt>
              </c:strCache>
            </c:strRef>
          </c:cat>
          <c:val>
            <c:numRef>
              <c:f>Dashboard!$E$14:$E$17</c:f>
              <c:numCache>
                <c:formatCode>\$#,##0.00</c:formatCode>
                <c:ptCount val="4"/>
                <c:pt idx="0">
                  <c:v>9528.8899999999976</c:v>
                </c:pt>
                <c:pt idx="1">
                  <c:v>30998.36</c:v>
                </c:pt>
                <c:pt idx="2">
                  <c:v>4798.8900000000012</c:v>
                </c:pt>
                <c:pt idx="3">
                  <c:v>16612.639999999992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D9-4537-B5CB-C05657759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Dashboard!$H$13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Dashboard!$G$14:$G$25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Dashboard!$H$14:$H$25</c:f>
              <c:numCache>
                <c:formatCode>\$#,##0.00</c:formatCode>
                <c:ptCount val="12"/>
                <c:pt idx="0">
                  <c:v>4785.91</c:v>
                </c:pt>
                <c:pt idx="1">
                  <c:v>6279.0899999999992</c:v>
                </c:pt>
                <c:pt idx="2">
                  <c:v>4719.0400000000009</c:v>
                </c:pt>
                <c:pt idx="3">
                  <c:v>4198.4800000000005</c:v>
                </c:pt>
                <c:pt idx="4">
                  <c:v>4189.1099999999997</c:v>
                </c:pt>
                <c:pt idx="5">
                  <c:v>6150.2199999999993</c:v>
                </c:pt>
                <c:pt idx="6">
                  <c:v>4279.26</c:v>
                </c:pt>
                <c:pt idx="7">
                  <c:v>5068.45</c:v>
                </c:pt>
                <c:pt idx="8">
                  <c:v>7371.42</c:v>
                </c:pt>
                <c:pt idx="9">
                  <c:v>4600.4999999999991</c:v>
                </c:pt>
                <c:pt idx="10">
                  <c:v>6127.85</c:v>
                </c:pt>
                <c:pt idx="11">
                  <c:v>4169.45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52-4677-8F3B-85D36139B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71495"/>
        <c:axId val="23328762"/>
      </c:lineChart>
      <c:catAx>
        <c:axId val="89271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28762"/>
        <c:crosses val="autoZero"/>
        <c:auto val="1"/>
        <c:lblAlgn val="ctr"/>
        <c:lblOffset val="100"/>
        <c:noMultiLvlLbl val="0"/>
      </c:catAx>
      <c:valAx>
        <c:axId val="23328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71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865800</xdr:colOff>
      <xdr:row>42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12</xdr:col>
      <xdr:colOff>111600</xdr:colOff>
      <xdr:row>42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11</xdr:col>
      <xdr:colOff>602280</xdr:colOff>
      <xdr:row>60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SalesTable" displayName="CleanedSalesTable" ref="A3:N369" totalsRowShown="0">
  <autoFilter ref="A3:N369" xr:uid="{00000000-0009-0000-0100-000001000000}"/>
  <tableColumns count="14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CustomerName"/>
    <tableColumn id="5" xr3:uid="{00000000-0010-0000-0000-000005000000}" name="Region"/>
    <tableColumn id="6" xr3:uid="{00000000-0010-0000-0000-000006000000}" name="Category"/>
    <tableColumn id="7" xr3:uid="{00000000-0010-0000-0000-000007000000}" name="Product"/>
    <tableColumn id="8" xr3:uid="{00000000-0010-0000-0000-000008000000}" name="Quantity"/>
    <tableColumn id="9" xr3:uid="{00000000-0010-0000-0000-000009000000}" name="UnitPrice"/>
    <tableColumn id="10" xr3:uid="{00000000-0010-0000-0000-00000A000000}" name="Discount"/>
    <tableColumn id="11" xr3:uid="{00000000-0010-0000-0000-00000B000000}" name="Sales"/>
    <tableColumn id="12" xr3:uid="{00000000-0010-0000-0000-00000C000000}" name="Profit"/>
    <tableColumn id="13" xr3:uid="{00000000-0010-0000-0000-00000D000000}" name="ShipMode"/>
    <tableColumn id="14" xr3:uid="{00000000-0010-0000-0000-00000E000000}" name="Order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B4" sqref="B4"/>
    </sheetView>
  </sheetViews>
  <sheetFormatPr defaultColWidth="8.6640625" defaultRowHeight="14.4" x14ac:dyDescent="0.3"/>
  <cols>
    <col min="1" max="1" width="16" customWidth="1"/>
    <col min="2" max="2" width="95" customWidth="1"/>
  </cols>
  <sheetData>
    <row r="1" spans="1:6" ht="25.5" customHeight="1" x14ac:dyDescent="0.3">
      <c r="A1" s="5" t="s">
        <v>0</v>
      </c>
      <c r="B1" s="5"/>
      <c r="C1" s="5"/>
      <c r="D1" s="5"/>
      <c r="E1" s="5"/>
      <c r="F1" s="5"/>
    </row>
    <row r="3" spans="1:6" x14ac:dyDescent="0.3">
      <c r="A3" s="6"/>
      <c r="B3" s="7"/>
    </row>
    <row r="4" spans="1:6" x14ac:dyDescent="0.3">
      <c r="A4" s="8" t="s">
        <v>1</v>
      </c>
      <c r="B4" s="7" t="s">
        <v>679</v>
      </c>
    </row>
    <row r="5" spans="1:6" x14ac:dyDescent="0.3">
      <c r="A5" s="8" t="s">
        <v>2</v>
      </c>
      <c r="B5" s="7" t="s">
        <v>3</v>
      </c>
    </row>
    <row r="6" spans="1:6" ht="27.6" x14ac:dyDescent="0.3">
      <c r="A6" s="8" t="s">
        <v>4</v>
      </c>
      <c r="B6" s="9" t="s">
        <v>5</v>
      </c>
    </row>
    <row r="7" spans="1:6" x14ac:dyDescent="0.3">
      <c r="A7" s="6"/>
      <c r="B7" s="7"/>
    </row>
    <row r="8" spans="1:6" x14ac:dyDescent="0.3">
      <c r="A8" s="6" t="s">
        <v>6</v>
      </c>
      <c r="B8" s="7" t="s">
        <v>7</v>
      </c>
    </row>
    <row r="9" spans="1:6" x14ac:dyDescent="0.3">
      <c r="A9" s="8" t="s">
        <v>8</v>
      </c>
      <c r="B9" s="7" t="s">
        <v>9</v>
      </c>
    </row>
    <row r="10" spans="1:6" x14ac:dyDescent="0.3">
      <c r="A10" s="8" t="s">
        <v>10</v>
      </c>
      <c r="B10" s="7" t="s">
        <v>11</v>
      </c>
    </row>
    <row r="11" spans="1:6" x14ac:dyDescent="0.3">
      <c r="A11" s="8" t="s">
        <v>12</v>
      </c>
      <c r="B11" s="7" t="s">
        <v>13</v>
      </c>
    </row>
    <row r="12" spans="1:6" x14ac:dyDescent="0.3">
      <c r="A12" s="8" t="s">
        <v>14</v>
      </c>
      <c r="B12" s="7" t="s">
        <v>15</v>
      </c>
    </row>
    <row r="13" spans="1:6" x14ac:dyDescent="0.3">
      <c r="A13" s="8" t="s">
        <v>16</v>
      </c>
      <c r="B13" s="7" t="s">
        <v>17</v>
      </c>
    </row>
    <row r="14" spans="1:6" x14ac:dyDescent="0.3">
      <c r="A14" s="8" t="s">
        <v>18</v>
      </c>
      <c r="B14" s="7" t="s">
        <v>19</v>
      </c>
    </row>
    <row r="15" spans="1:6" x14ac:dyDescent="0.3">
      <c r="A15" s="10"/>
      <c r="B15" s="7"/>
    </row>
    <row r="16" spans="1:6" x14ac:dyDescent="0.3">
      <c r="A16" s="10" t="s">
        <v>20</v>
      </c>
      <c r="B16" s="7" t="s">
        <v>21</v>
      </c>
    </row>
    <row r="17" spans="1:2" x14ac:dyDescent="0.3">
      <c r="B17" s="7" t="s">
        <v>22</v>
      </c>
    </row>
    <row r="18" spans="1:2" x14ac:dyDescent="0.3">
      <c r="A18" s="10"/>
      <c r="B18" s="7" t="s">
        <v>23</v>
      </c>
    </row>
    <row r="19" spans="1:2" x14ac:dyDescent="0.3">
      <c r="A19" s="10"/>
      <c r="B19" s="7" t="s">
        <v>24</v>
      </c>
    </row>
    <row r="20" spans="1:2" x14ac:dyDescent="0.3">
      <c r="A20" s="10"/>
      <c r="B20" s="7" t="s">
        <v>25</v>
      </c>
    </row>
    <row r="21" spans="1:2" x14ac:dyDescent="0.3">
      <c r="A21" s="10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sqref="A1:E1"/>
    </sheetView>
  </sheetViews>
  <sheetFormatPr defaultColWidth="8.6640625" defaultRowHeight="14.4" x14ac:dyDescent="0.3"/>
  <cols>
    <col min="1" max="1" width="14" customWidth="1"/>
    <col min="2" max="2" width="12" customWidth="1"/>
    <col min="4" max="4" width="12" customWidth="1"/>
    <col min="5" max="5" width="16" customWidth="1"/>
  </cols>
  <sheetData>
    <row r="1" spans="1:5" ht="25.5" customHeight="1" x14ac:dyDescent="0.3">
      <c r="A1" s="5" t="s">
        <v>627</v>
      </c>
      <c r="B1" s="5"/>
      <c r="C1" s="5"/>
      <c r="D1" s="5"/>
      <c r="E1" s="5"/>
    </row>
    <row r="3" spans="1:5" ht="27.6" x14ac:dyDescent="0.3">
      <c r="A3" s="11" t="s">
        <v>32</v>
      </c>
      <c r="B3" s="11" t="s">
        <v>628</v>
      </c>
      <c r="D3" s="11" t="s">
        <v>31</v>
      </c>
      <c r="E3" s="11" t="s">
        <v>629</v>
      </c>
    </row>
    <row r="4" spans="1:5" x14ac:dyDescent="0.3">
      <c r="A4" t="s">
        <v>75</v>
      </c>
      <c r="B4" s="12">
        <v>0.28000000000000003</v>
      </c>
      <c r="D4" t="s">
        <v>43</v>
      </c>
      <c r="E4" s="13">
        <v>3000</v>
      </c>
    </row>
    <row r="5" spans="1:5" x14ac:dyDescent="0.3">
      <c r="A5" t="s">
        <v>50</v>
      </c>
      <c r="B5" s="12">
        <v>0.18</v>
      </c>
      <c r="D5" t="s">
        <v>125</v>
      </c>
      <c r="E5" s="13">
        <v>3000</v>
      </c>
    </row>
    <row r="6" spans="1:5" x14ac:dyDescent="0.3">
      <c r="A6" t="s">
        <v>44</v>
      </c>
      <c r="B6" s="12">
        <v>0.35</v>
      </c>
      <c r="D6" t="s">
        <v>74</v>
      </c>
      <c r="E6" s="13">
        <v>3000</v>
      </c>
    </row>
    <row r="7" spans="1:5" x14ac:dyDescent="0.3">
      <c r="A7" t="s">
        <v>56</v>
      </c>
      <c r="B7" s="12">
        <v>0.22</v>
      </c>
      <c r="D7" t="s">
        <v>61</v>
      </c>
      <c r="E7" s="13">
        <v>3000</v>
      </c>
    </row>
    <row r="8" spans="1:5" x14ac:dyDescent="0.3">
      <c r="D8" t="s">
        <v>91</v>
      </c>
      <c r="E8" s="13">
        <v>3000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1"/>
  <sheetViews>
    <sheetView zoomScaleNormal="100" workbookViewId="0">
      <pane ySplit="3" topLeftCell="A4" activePane="bottomLeft" state="frozen"/>
      <selection pane="bottomLeft" sqref="A1:M1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7" width="16" customWidth="1"/>
    <col min="8" max="12" width="9" customWidth="1"/>
    <col min="13" max="13" width="10" customWidth="1"/>
  </cols>
  <sheetData>
    <row r="1" spans="1:13" ht="25.5" customHeight="1" x14ac:dyDescent="0.3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27.6" x14ac:dyDescent="0.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</row>
    <row r="4" spans="1:13" x14ac:dyDescent="0.3">
      <c r="A4">
        <v>10297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>
        <v>3</v>
      </c>
      <c r="I4">
        <v>4.25</v>
      </c>
      <c r="J4">
        <v>0.05</v>
      </c>
      <c r="K4">
        <v>12.11</v>
      </c>
      <c r="L4">
        <v>3.79</v>
      </c>
      <c r="M4" t="s">
        <v>46</v>
      </c>
    </row>
    <row r="5" spans="1:13" x14ac:dyDescent="0.3">
      <c r="A5">
        <v>10362</v>
      </c>
      <c r="B5" t="s">
        <v>47</v>
      </c>
      <c r="C5" t="s">
        <v>48</v>
      </c>
      <c r="D5" t="s">
        <v>49</v>
      </c>
      <c r="E5" t="s">
        <v>43</v>
      </c>
      <c r="F5" t="s">
        <v>50</v>
      </c>
      <c r="G5" t="s">
        <v>51</v>
      </c>
      <c r="H5">
        <v>5</v>
      </c>
      <c r="I5">
        <v>120</v>
      </c>
      <c r="J5">
        <v>0</v>
      </c>
      <c r="K5">
        <v>600</v>
      </c>
      <c r="L5">
        <v>107.14</v>
      </c>
      <c r="M5" t="s">
        <v>52</v>
      </c>
    </row>
    <row r="6" spans="1:13" x14ac:dyDescent="0.3">
      <c r="A6">
        <v>10120</v>
      </c>
      <c r="B6" t="s">
        <v>53</v>
      </c>
      <c r="C6" t="s">
        <v>54</v>
      </c>
      <c r="D6" t="s">
        <v>55</v>
      </c>
      <c r="E6" t="s">
        <v>43</v>
      </c>
      <c r="F6" t="s">
        <v>56</v>
      </c>
      <c r="G6" t="s">
        <v>57</v>
      </c>
      <c r="H6">
        <v>4</v>
      </c>
      <c r="I6">
        <v>55</v>
      </c>
      <c r="J6">
        <v>0</v>
      </c>
      <c r="K6">
        <v>220</v>
      </c>
      <c r="L6">
        <v>54.92</v>
      </c>
      <c r="M6" t="s">
        <v>46</v>
      </c>
    </row>
    <row r="7" spans="1:13" x14ac:dyDescent="0.3">
      <c r="A7">
        <v>10340</v>
      </c>
      <c r="B7" t="s">
        <v>58</v>
      </c>
      <c r="C7" t="s">
        <v>59</v>
      </c>
      <c r="D7" t="s">
        <v>60</v>
      </c>
      <c r="E7" t="s">
        <v>61</v>
      </c>
      <c r="F7" t="s">
        <v>50</v>
      </c>
      <c r="G7" t="s">
        <v>62</v>
      </c>
      <c r="H7">
        <v>4</v>
      </c>
      <c r="I7">
        <v>65</v>
      </c>
      <c r="J7">
        <v>0</v>
      </c>
      <c r="K7">
        <v>260</v>
      </c>
      <c r="L7">
        <v>43.64</v>
      </c>
      <c r="M7" t="s">
        <v>63</v>
      </c>
    </row>
    <row r="8" spans="1:13" x14ac:dyDescent="0.3">
      <c r="A8">
        <v>10229</v>
      </c>
      <c r="B8" t="s">
        <v>64</v>
      </c>
      <c r="C8" t="s">
        <v>65</v>
      </c>
      <c r="D8" t="s">
        <v>66</v>
      </c>
      <c r="E8" t="s">
        <v>61</v>
      </c>
      <c r="F8" t="s">
        <v>44</v>
      </c>
      <c r="G8" t="s">
        <v>67</v>
      </c>
      <c r="H8">
        <v>7</v>
      </c>
      <c r="I8">
        <v>5.5</v>
      </c>
      <c r="J8">
        <v>0.1</v>
      </c>
      <c r="K8">
        <v>34.65</v>
      </c>
      <c r="L8">
        <v>13.28</v>
      </c>
      <c r="M8" t="s">
        <v>63</v>
      </c>
    </row>
    <row r="9" spans="1:13" x14ac:dyDescent="0.3">
      <c r="A9">
        <v>10007</v>
      </c>
      <c r="B9" t="s">
        <v>68</v>
      </c>
      <c r="C9" t="s">
        <v>69</v>
      </c>
      <c r="D9" t="s">
        <v>70</v>
      </c>
      <c r="E9" t="s">
        <v>43</v>
      </c>
      <c r="F9" t="s">
        <v>56</v>
      </c>
      <c r="G9" t="s">
        <v>57</v>
      </c>
      <c r="H9">
        <v>8</v>
      </c>
      <c r="I9">
        <v>55</v>
      </c>
      <c r="J9">
        <v>0.15</v>
      </c>
      <c r="K9">
        <v>374</v>
      </c>
      <c r="L9">
        <v>73.95</v>
      </c>
      <c r="M9" t="s">
        <v>46</v>
      </c>
    </row>
    <row r="10" spans="1:13" x14ac:dyDescent="0.3">
      <c r="A10">
        <v>10304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>
        <v>3</v>
      </c>
      <c r="I10">
        <v>22</v>
      </c>
      <c r="J10">
        <v>0</v>
      </c>
      <c r="K10">
        <v>66</v>
      </c>
      <c r="L10">
        <v>17.91</v>
      </c>
      <c r="M10" t="s">
        <v>52</v>
      </c>
    </row>
    <row r="11" spans="1:13" x14ac:dyDescent="0.3">
      <c r="A11">
        <v>10179</v>
      </c>
      <c r="B11" t="s">
        <v>77</v>
      </c>
      <c r="C11" t="s">
        <v>78</v>
      </c>
      <c r="D11" t="s">
        <v>79</v>
      </c>
      <c r="F11" t="s">
        <v>50</v>
      </c>
      <c r="G11" t="s">
        <v>80</v>
      </c>
      <c r="H11">
        <v>4</v>
      </c>
      <c r="I11">
        <v>89</v>
      </c>
      <c r="J11">
        <v>0.15</v>
      </c>
      <c r="K11">
        <v>302.60000000000002</v>
      </c>
      <c r="L11">
        <v>52.22</v>
      </c>
      <c r="M11" t="s">
        <v>46</v>
      </c>
    </row>
    <row r="12" spans="1:13" x14ac:dyDescent="0.3">
      <c r="A12">
        <v>10148</v>
      </c>
      <c r="B12" t="s">
        <v>81</v>
      </c>
      <c r="C12" t="s">
        <v>82</v>
      </c>
      <c r="D12" t="s">
        <v>83</v>
      </c>
      <c r="E12" t="s">
        <v>74</v>
      </c>
      <c r="F12" t="s">
        <v>50</v>
      </c>
      <c r="G12" t="s">
        <v>84</v>
      </c>
      <c r="H12">
        <v>2</v>
      </c>
      <c r="I12">
        <v>75.5</v>
      </c>
      <c r="J12">
        <v>0.25</v>
      </c>
      <c r="K12">
        <v>113.25</v>
      </c>
      <c r="L12">
        <v>20.03</v>
      </c>
      <c r="M12" t="s">
        <v>46</v>
      </c>
    </row>
    <row r="13" spans="1:13" x14ac:dyDescent="0.3">
      <c r="A13">
        <v>10224</v>
      </c>
      <c r="B13" t="s">
        <v>85</v>
      </c>
      <c r="C13" t="s">
        <v>86</v>
      </c>
      <c r="D13" t="s">
        <v>87</v>
      </c>
      <c r="E13" t="s">
        <v>61</v>
      </c>
      <c r="F13" t="s">
        <v>44</v>
      </c>
      <c r="G13" t="s">
        <v>67</v>
      </c>
      <c r="H13">
        <v>5</v>
      </c>
      <c r="I13">
        <v>5.5</v>
      </c>
      <c r="J13">
        <v>0.15</v>
      </c>
      <c r="K13">
        <v>23.38</v>
      </c>
      <c r="L13">
        <v>8.4600000000000009</v>
      </c>
      <c r="M13" t="s">
        <v>52</v>
      </c>
    </row>
    <row r="14" spans="1:13" x14ac:dyDescent="0.3">
      <c r="A14">
        <v>10077</v>
      </c>
      <c r="B14" t="s">
        <v>88</v>
      </c>
      <c r="C14" t="s">
        <v>89</v>
      </c>
      <c r="D14" t="s">
        <v>90</v>
      </c>
      <c r="E14" t="s">
        <v>91</v>
      </c>
      <c r="F14" t="s">
        <v>44</v>
      </c>
      <c r="G14" t="s">
        <v>67</v>
      </c>
      <c r="H14">
        <v>4</v>
      </c>
      <c r="I14">
        <v>5.5</v>
      </c>
      <c r="J14">
        <v>0.1</v>
      </c>
      <c r="K14">
        <v>19.8</v>
      </c>
      <c r="L14">
        <v>6.36</v>
      </c>
      <c r="M14" t="s">
        <v>63</v>
      </c>
    </row>
    <row r="15" spans="1:13" x14ac:dyDescent="0.3">
      <c r="A15">
        <v>10109</v>
      </c>
      <c r="B15" t="s">
        <v>92</v>
      </c>
      <c r="C15" t="s">
        <v>93</v>
      </c>
      <c r="D15" t="s">
        <v>94</v>
      </c>
      <c r="E15" t="s">
        <v>74</v>
      </c>
      <c r="F15" t="s">
        <v>75</v>
      </c>
      <c r="G15" t="s">
        <v>95</v>
      </c>
      <c r="H15">
        <v>5</v>
      </c>
      <c r="I15">
        <v>18.75</v>
      </c>
      <c r="J15">
        <v>0</v>
      </c>
      <c r="K15">
        <v>93.75</v>
      </c>
      <c r="L15">
        <v>26.77</v>
      </c>
      <c r="M15" t="s">
        <v>46</v>
      </c>
    </row>
    <row r="16" spans="1:13" x14ac:dyDescent="0.3">
      <c r="A16">
        <v>10348</v>
      </c>
      <c r="B16" t="s">
        <v>96</v>
      </c>
      <c r="C16" t="s">
        <v>97</v>
      </c>
      <c r="D16" t="s">
        <v>98</v>
      </c>
      <c r="E16" t="s">
        <v>43</v>
      </c>
      <c r="F16" t="s">
        <v>50</v>
      </c>
      <c r="G16" t="s">
        <v>99</v>
      </c>
      <c r="H16">
        <v>4</v>
      </c>
      <c r="I16">
        <v>15</v>
      </c>
      <c r="J16">
        <v>0</v>
      </c>
      <c r="K16">
        <v>60</v>
      </c>
      <c r="L16">
        <v>10.89</v>
      </c>
      <c r="M16" t="s">
        <v>46</v>
      </c>
    </row>
    <row r="17" spans="1:13" x14ac:dyDescent="0.3">
      <c r="A17">
        <v>10361</v>
      </c>
      <c r="B17" t="s">
        <v>100</v>
      </c>
      <c r="C17" t="s">
        <v>101</v>
      </c>
      <c r="D17" t="s">
        <v>102</v>
      </c>
      <c r="E17" t="s">
        <v>43</v>
      </c>
      <c r="F17" t="s">
        <v>44</v>
      </c>
      <c r="G17" t="s">
        <v>67</v>
      </c>
      <c r="H17">
        <v>7</v>
      </c>
      <c r="I17">
        <v>5.5</v>
      </c>
      <c r="J17">
        <v>0</v>
      </c>
      <c r="K17">
        <v>38.5</v>
      </c>
      <c r="L17">
        <v>12.64</v>
      </c>
      <c r="M17" t="s">
        <v>63</v>
      </c>
    </row>
    <row r="18" spans="1:13" x14ac:dyDescent="0.3">
      <c r="A18">
        <v>10139</v>
      </c>
      <c r="B18" t="s">
        <v>103</v>
      </c>
      <c r="C18" t="s">
        <v>104</v>
      </c>
      <c r="D18" t="s">
        <v>105</v>
      </c>
      <c r="E18" t="s">
        <v>43</v>
      </c>
      <c r="F18" t="s">
        <v>44</v>
      </c>
      <c r="G18" t="s">
        <v>106</v>
      </c>
      <c r="H18">
        <v>8</v>
      </c>
      <c r="I18">
        <v>6.75</v>
      </c>
      <c r="J18">
        <v>0.1</v>
      </c>
      <c r="K18">
        <v>48.6</v>
      </c>
      <c r="L18">
        <v>14.69</v>
      </c>
      <c r="M18" t="s">
        <v>63</v>
      </c>
    </row>
    <row r="19" spans="1:13" x14ac:dyDescent="0.3">
      <c r="A19">
        <v>10332</v>
      </c>
      <c r="B19" t="s">
        <v>107</v>
      </c>
      <c r="C19" t="s">
        <v>108</v>
      </c>
      <c r="D19" t="s">
        <v>109</v>
      </c>
      <c r="E19" t="s">
        <v>74</v>
      </c>
      <c r="F19" t="s">
        <v>56</v>
      </c>
      <c r="G19" t="s">
        <v>57</v>
      </c>
      <c r="H19">
        <v>4</v>
      </c>
      <c r="I19">
        <v>55</v>
      </c>
      <c r="J19">
        <v>0</v>
      </c>
      <c r="K19">
        <v>220</v>
      </c>
      <c r="L19">
        <v>54.84</v>
      </c>
      <c r="M19" t="s">
        <v>63</v>
      </c>
    </row>
    <row r="20" spans="1:13" x14ac:dyDescent="0.3">
      <c r="A20">
        <v>10095</v>
      </c>
      <c r="B20" t="s">
        <v>110</v>
      </c>
      <c r="C20" t="s">
        <v>111</v>
      </c>
      <c r="D20" t="s">
        <v>112</v>
      </c>
      <c r="E20" t="s">
        <v>43</v>
      </c>
      <c r="F20" t="s">
        <v>50</v>
      </c>
      <c r="G20" t="s">
        <v>84</v>
      </c>
      <c r="H20">
        <v>5</v>
      </c>
      <c r="I20">
        <v>75.5</v>
      </c>
      <c r="J20">
        <v>0.1</v>
      </c>
      <c r="K20">
        <v>339.75</v>
      </c>
      <c r="L20">
        <v>59.6</v>
      </c>
      <c r="M20" t="s">
        <v>63</v>
      </c>
    </row>
    <row r="21" spans="1:13" x14ac:dyDescent="0.3">
      <c r="A21">
        <v>10262</v>
      </c>
      <c r="B21" t="s">
        <v>113</v>
      </c>
      <c r="C21" t="s">
        <v>114</v>
      </c>
      <c r="D21" t="s">
        <v>115</v>
      </c>
      <c r="E21" t="s">
        <v>43</v>
      </c>
      <c r="F21" t="s">
        <v>44</v>
      </c>
      <c r="G21" t="s">
        <v>45</v>
      </c>
      <c r="H21">
        <v>7</v>
      </c>
      <c r="I21">
        <v>4.25</v>
      </c>
      <c r="J21">
        <v>0</v>
      </c>
      <c r="K21">
        <v>29.75</v>
      </c>
      <c r="L21">
        <v>11.16</v>
      </c>
      <c r="M21" t="s">
        <v>63</v>
      </c>
    </row>
    <row r="22" spans="1:13" x14ac:dyDescent="0.3">
      <c r="A22">
        <v>10334</v>
      </c>
      <c r="B22" t="s">
        <v>116</v>
      </c>
      <c r="C22" t="s">
        <v>117</v>
      </c>
      <c r="D22" t="s">
        <v>118</v>
      </c>
      <c r="E22" t="s">
        <v>74</v>
      </c>
      <c r="F22" t="s">
        <v>56</v>
      </c>
      <c r="G22" t="s">
        <v>57</v>
      </c>
      <c r="H22">
        <v>2</v>
      </c>
      <c r="I22">
        <v>55</v>
      </c>
      <c r="J22">
        <v>0</v>
      </c>
      <c r="K22">
        <v>110</v>
      </c>
      <c r="L22">
        <v>21.71</v>
      </c>
      <c r="M22" t="s">
        <v>63</v>
      </c>
    </row>
    <row r="23" spans="1:13" x14ac:dyDescent="0.3">
      <c r="A23">
        <v>10213</v>
      </c>
      <c r="B23" t="s">
        <v>119</v>
      </c>
      <c r="C23" t="s">
        <v>120</v>
      </c>
      <c r="D23" t="s">
        <v>121</v>
      </c>
      <c r="E23" t="s">
        <v>43</v>
      </c>
      <c r="F23" t="s">
        <v>44</v>
      </c>
      <c r="G23" t="s">
        <v>67</v>
      </c>
      <c r="H23">
        <v>6</v>
      </c>
      <c r="I23">
        <v>5.5</v>
      </c>
      <c r="J23">
        <v>0.25</v>
      </c>
      <c r="K23">
        <v>24.75</v>
      </c>
      <c r="L23">
        <v>9.07</v>
      </c>
      <c r="M23" t="s">
        <v>63</v>
      </c>
    </row>
    <row r="24" spans="1:13" x14ac:dyDescent="0.3">
      <c r="A24">
        <v>10111</v>
      </c>
      <c r="B24" t="s">
        <v>122</v>
      </c>
      <c r="C24" t="s">
        <v>123</v>
      </c>
      <c r="D24" t="s">
        <v>124</v>
      </c>
      <c r="E24" t="s">
        <v>125</v>
      </c>
      <c r="F24" t="s">
        <v>75</v>
      </c>
      <c r="G24" t="s">
        <v>126</v>
      </c>
      <c r="H24">
        <v>5</v>
      </c>
      <c r="I24">
        <v>12.99</v>
      </c>
      <c r="J24">
        <v>0.25</v>
      </c>
      <c r="K24">
        <v>48.71</v>
      </c>
      <c r="L24">
        <v>11.73</v>
      </c>
      <c r="M24" t="s">
        <v>63</v>
      </c>
    </row>
    <row r="25" spans="1:13" x14ac:dyDescent="0.3">
      <c r="A25">
        <v>10038</v>
      </c>
      <c r="B25" t="s">
        <v>127</v>
      </c>
      <c r="C25" t="s">
        <v>128</v>
      </c>
      <c r="D25" t="s">
        <v>129</v>
      </c>
      <c r="E25" t="s">
        <v>91</v>
      </c>
      <c r="F25" t="s">
        <v>50</v>
      </c>
      <c r="G25" t="s">
        <v>84</v>
      </c>
      <c r="H25">
        <v>3</v>
      </c>
      <c r="I25">
        <v>75.5</v>
      </c>
      <c r="J25">
        <v>0</v>
      </c>
      <c r="K25">
        <v>226.5</v>
      </c>
      <c r="L25">
        <v>38.42</v>
      </c>
      <c r="M25" t="s">
        <v>63</v>
      </c>
    </row>
    <row r="26" spans="1:13" x14ac:dyDescent="0.3">
      <c r="A26">
        <v>10166</v>
      </c>
      <c r="B26" t="s">
        <v>130</v>
      </c>
      <c r="C26" t="s">
        <v>131</v>
      </c>
      <c r="D26" t="s">
        <v>132</v>
      </c>
      <c r="E26" t="s">
        <v>125</v>
      </c>
      <c r="F26" t="s">
        <v>56</v>
      </c>
      <c r="G26" t="s">
        <v>133</v>
      </c>
      <c r="H26">
        <v>5</v>
      </c>
      <c r="I26">
        <v>9.99</v>
      </c>
      <c r="J26">
        <v>0.05</v>
      </c>
      <c r="K26">
        <v>47.45</v>
      </c>
      <c r="L26">
        <v>9.82</v>
      </c>
      <c r="M26" t="s">
        <v>52</v>
      </c>
    </row>
    <row r="27" spans="1:13" x14ac:dyDescent="0.3">
      <c r="A27">
        <v>10185</v>
      </c>
      <c r="B27" t="s">
        <v>134</v>
      </c>
      <c r="C27" t="s">
        <v>135</v>
      </c>
      <c r="D27" t="s">
        <v>136</v>
      </c>
      <c r="E27" t="s">
        <v>125</v>
      </c>
      <c r="F27" t="s">
        <v>50</v>
      </c>
      <c r="G27" t="s">
        <v>84</v>
      </c>
      <c r="H27">
        <v>1</v>
      </c>
      <c r="I27">
        <v>75.5</v>
      </c>
      <c r="J27">
        <v>0.15</v>
      </c>
      <c r="K27">
        <v>64.17</v>
      </c>
      <c r="L27">
        <v>11.74</v>
      </c>
      <c r="M27" t="s">
        <v>46</v>
      </c>
    </row>
    <row r="28" spans="1:13" x14ac:dyDescent="0.3">
      <c r="A28">
        <v>10328</v>
      </c>
      <c r="B28" t="s">
        <v>137</v>
      </c>
      <c r="C28" t="s">
        <v>138</v>
      </c>
      <c r="D28" t="s">
        <v>139</v>
      </c>
      <c r="E28" t="s">
        <v>74</v>
      </c>
      <c r="F28" t="s">
        <v>75</v>
      </c>
      <c r="G28" t="s">
        <v>76</v>
      </c>
      <c r="H28">
        <v>1</v>
      </c>
      <c r="I28">
        <v>22</v>
      </c>
      <c r="J28">
        <v>0.2</v>
      </c>
      <c r="K28">
        <v>17.600000000000001</v>
      </c>
      <c r="L28">
        <v>5.44</v>
      </c>
      <c r="M28" t="s">
        <v>63</v>
      </c>
    </row>
    <row r="29" spans="1:13" x14ac:dyDescent="0.3">
      <c r="A29">
        <v>10132</v>
      </c>
      <c r="B29" t="s">
        <v>140</v>
      </c>
      <c r="C29" t="s">
        <v>141</v>
      </c>
      <c r="D29" t="s">
        <v>142</v>
      </c>
      <c r="E29" t="s">
        <v>43</v>
      </c>
      <c r="F29" t="s">
        <v>56</v>
      </c>
      <c r="G29" t="s">
        <v>57</v>
      </c>
      <c r="H29">
        <v>7</v>
      </c>
      <c r="I29">
        <v>55</v>
      </c>
      <c r="J29">
        <v>0</v>
      </c>
      <c r="K29">
        <v>385</v>
      </c>
      <c r="L29">
        <v>96.6</v>
      </c>
      <c r="M29" t="s">
        <v>52</v>
      </c>
    </row>
    <row r="30" spans="1:13" x14ac:dyDescent="0.3">
      <c r="A30">
        <v>10135</v>
      </c>
      <c r="B30" t="s">
        <v>143</v>
      </c>
      <c r="C30" t="s">
        <v>144</v>
      </c>
      <c r="D30" t="s">
        <v>145</v>
      </c>
      <c r="E30" t="s">
        <v>74</v>
      </c>
      <c r="F30" t="s">
        <v>44</v>
      </c>
      <c r="G30" t="s">
        <v>146</v>
      </c>
      <c r="H30">
        <v>1</v>
      </c>
      <c r="I30">
        <v>3.1</v>
      </c>
      <c r="J30">
        <v>0</v>
      </c>
      <c r="K30">
        <v>3.1</v>
      </c>
      <c r="L30">
        <v>1.21</v>
      </c>
      <c r="M30" t="s">
        <v>63</v>
      </c>
    </row>
    <row r="31" spans="1:13" x14ac:dyDescent="0.3">
      <c r="A31">
        <v>10379</v>
      </c>
      <c r="B31" t="s">
        <v>147</v>
      </c>
      <c r="C31" t="s">
        <v>65</v>
      </c>
      <c r="D31" t="s">
        <v>148</v>
      </c>
      <c r="E31" t="s">
        <v>61</v>
      </c>
      <c r="F31" t="s">
        <v>56</v>
      </c>
      <c r="G31" t="s">
        <v>149</v>
      </c>
      <c r="H31">
        <v>8</v>
      </c>
      <c r="I31">
        <v>42</v>
      </c>
      <c r="J31">
        <v>0.15</v>
      </c>
      <c r="K31">
        <v>285.60000000000002</v>
      </c>
      <c r="L31">
        <v>59.9</v>
      </c>
      <c r="M31" t="s">
        <v>52</v>
      </c>
    </row>
    <row r="32" spans="1:13" x14ac:dyDescent="0.3">
      <c r="A32">
        <v>10311</v>
      </c>
      <c r="B32" t="s">
        <v>150</v>
      </c>
      <c r="C32" t="s">
        <v>151</v>
      </c>
      <c r="D32" t="s">
        <v>152</v>
      </c>
      <c r="E32" t="s">
        <v>91</v>
      </c>
      <c r="F32" t="s">
        <v>44</v>
      </c>
      <c r="G32" t="s">
        <v>67</v>
      </c>
      <c r="H32">
        <v>5</v>
      </c>
      <c r="I32">
        <v>5.5</v>
      </c>
      <c r="J32">
        <v>0.05</v>
      </c>
      <c r="K32">
        <v>26.12</v>
      </c>
      <c r="L32">
        <v>9.19</v>
      </c>
      <c r="M32" t="s">
        <v>46</v>
      </c>
    </row>
    <row r="33" spans="1:13" x14ac:dyDescent="0.3">
      <c r="A33">
        <v>10047</v>
      </c>
      <c r="B33" t="s">
        <v>153</v>
      </c>
      <c r="C33" t="s">
        <v>154</v>
      </c>
      <c r="D33" t="s">
        <v>155</v>
      </c>
      <c r="E33" t="s">
        <v>61</v>
      </c>
      <c r="F33" t="s">
        <v>44</v>
      </c>
      <c r="G33" t="s">
        <v>156</v>
      </c>
      <c r="H33">
        <v>5</v>
      </c>
      <c r="I33">
        <v>27</v>
      </c>
      <c r="J33">
        <v>0</v>
      </c>
      <c r="K33">
        <v>135</v>
      </c>
      <c r="L33">
        <v>42.88</v>
      </c>
      <c r="M33" t="s">
        <v>46</v>
      </c>
    </row>
    <row r="34" spans="1:13" x14ac:dyDescent="0.3">
      <c r="A34">
        <v>10206</v>
      </c>
      <c r="B34" t="s">
        <v>157</v>
      </c>
      <c r="C34" t="s">
        <v>158</v>
      </c>
      <c r="D34" t="s">
        <v>159</v>
      </c>
      <c r="E34" t="s">
        <v>91</v>
      </c>
      <c r="F34" t="s">
        <v>50</v>
      </c>
      <c r="G34" t="s">
        <v>80</v>
      </c>
      <c r="H34">
        <v>10</v>
      </c>
      <c r="I34">
        <v>89</v>
      </c>
      <c r="J34">
        <v>0.25</v>
      </c>
      <c r="K34">
        <v>667.5</v>
      </c>
      <c r="L34">
        <v>108.27</v>
      </c>
      <c r="M34" t="s">
        <v>63</v>
      </c>
    </row>
    <row r="35" spans="1:13" x14ac:dyDescent="0.3">
      <c r="A35">
        <v>10209</v>
      </c>
      <c r="B35" t="s">
        <v>160</v>
      </c>
      <c r="C35" t="s">
        <v>161</v>
      </c>
      <c r="D35" t="s">
        <v>162</v>
      </c>
      <c r="E35" t="s">
        <v>91</v>
      </c>
      <c r="F35" t="s">
        <v>44</v>
      </c>
      <c r="G35" t="s">
        <v>156</v>
      </c>
      <c r="H35">
        <v>9</v>
      </c>
      <c r="I35">
        <v>27</v>
      </c>
      <c r="J35">
        <v>0.2</v>
      </c>
      <c r="K35">
        <v>194.4</v>
      </c>
      <c r="L35">
        <v>64.239999999999995</v>
      </c>
      <c r="M35" t="s">
        <v>46</v>
      </c>
    </row>
    <row r="36" spans="1:13" x14ac:dyDescent="0.3">
      <c r="A36">
        <v>10305</v>
      </c>
      <c r="B36" t="s">
        <v>163</v>
      </c>
      <c r="C36" t="s">
        <v>164</v>
      </c>
      <c r="D36" t="s">
        <v>165</v>
      </c>
      <c r="E36" t="s">
        <v>43</v>
      </c>
      <c r="F36" t="s">
        <v>75</v>
      </c>
      <c r="G36" t="s">
        <v>126</v>
      </c>
      <c r="H36">
        <v>4</v>
      </c>
      <c r="I36">
        <v>12.99</v>
      </c>
      <c r="J36">
        <v>0.25</v>
      </c>
      <c r="K36">
        <v>38.97</v>
      </c>
      <c r="L36">
        <v>9.5299999999999994</v>
      </c>
      <c r="M36" t="s">
        <v>46</v>
      </c>
    </row>
    <row r="37" spans="1:13" x14ac:dyDescent="0.3">
      <c r="A37">
        <v>10142</v>
      </c>
      <c r="B37" t="s">
        <v>166</v>
      </c>
      <c r="C37" t="s">
        <v>167</v>
      </c>
      <c r="D37" t="s">
        <v>145</v>
      </c>
      <c r="E37" t="s">
        <v>61</v>
      </c>
      <c r="F37" t="s">
        <v>75</v>
      </c>
      <c r="G37" t="s">
        <v>95</v>
      </c>
      <c r="H37">
        <v>2</v>
      </c>
      <c r="I37">
        <v>18.75</v>
      </c>
      <c r="J37">
        <v>0.15</v>
      </c>
      <c r="K37">
        <v>31.88</v>
      </c>
      <c r="L37">
        <v>9.1300000000000008</v>
      </c>
      <c r="M37" t="s">
        <v>46</v>
      </c>
    </row>
    <row r="38" spans="1:13" x14ac:dyDescent="0.3">
      <c r="A38">
        <v>10371</v>
      </c>
      <c r="B38" t="s">
        <v>168</v>
      </c>
      <c r="C38" t="s">
        <v>169</v>
      </c>
      <c r="D38" t="s">
        <v>170</v>
      </c>
      <c r="E38" t="s">
        <v>91</v>
      </c>
      <c r="F38" t="s">
        <v>75</v>
      </c>
      <c r="G38" t="s">
        <v>76</v>
      </c>
      <c r="H38">
        <v>9</v>
      </c>
      <c r="I38">
        <v>22</v>
      </c>
      <c r="J38">
        <v>0.15</v>
      </c>
      <c r="K38">
        <v>168.3</v>
      </c>
      <c r="L38">
        <v>52.47</v>
      </c>
      <c r="M38" t="s">
        <v>46</v>
      </c>
    </row>
    <row r="39" spans="1:13" x14ac:dyDescent="0.3">
      <c r="A39">
        <v>10247</v>
      </c>
      <c r="B39" t="s">
        <v>171</v>
      </c>
      <c r="C39" t="s">
        <v>172</v>
      </c>
      <c r="D39" t="s">
        <v>105</v>
      </c>
      <c r="E39" t="s">
        <v>91</v>
      </c>
      <c r="F39" t="s">
        <v>56</v>
      </c>
      <c r="G39" t="s">
        <v>57</v>
      </c>
      <c r="H39">
        <v>3</v>
      </c>
      <c r="I39">
        <v>55</v>
      </c>
      <c r="J39">
        <v>0.05</v>
      </c>
      <c r="K39">
        <v>156.75</v>
      </c>
      <c r="L39">
        <v>32.72</v>
      </c>
      <c r="M39" t="s">
        <v>63</v>
      </c>
    </row>
    <row r="40" spans="1:13" x14ac:dyDescent="0.3">
      <c r="A40">
        <v>10144</v>
      </c>
      <c r="B40" t="s">
        <v>173</v>
      </c>
      <c r="C40" t="s">
        <v>174</v>
      </c>
      <c r="D40" t="s">
        <v>175</v>
      </c>
      <c r="E40" t="s">
        <v>74</v>
      </c>
      <c r="F40" t="s">
        <v>75</v>
      </c>
      <c r="G40" t="s">
        <v>95</v>
      </c>
      <c r="H40">
        <v>2</v>
      </c>
      <c r="I40">
        <v>18.75</v>
      </c>
      <c r="J40">
        <v>0.05</v>
      </c>
      <c r="K40">
        <v>35.619999999999997</v>
      </c>
      <c r="L40">
        <v>9.7799999999999994</v>
      </c>
      <c r="M40" t="s">
        <v>63</v>
      </c>
    </row>
    <row r="41" spans="1:13" x14ac:dyDescent="0.3">
      <c r="A41">
        <v>10205</v>
      </c>
      <c r="B41" t="s">
        <v>176</v>
      </c>
      <c r="C41" t="s">
        <v>177</v>
      </c>
      <c r="D41" t="s">
        <v>178</v>
      </c>
      <c r="E41" t="s">
        <v>74</v>
      </c>
      <c r="F41" t="s">
        <v>75</v>
      </c>
      <c r="G41" t="s">
        <v>95</v>
      </c>
      <c r="H41">
        <v>10</v>
      </c>
      <c r="I41">
        <v>18.75</v>
      </c>
      <c r="J41">
        <v>0.1</v>
      </c>
      <c r="K41">
        <v>168.75</v>
      </c>
      <c r="L41">
        <v>51.46</v>
      </c>
      <c r="M41" t="s">
        <v>52</v>
      </c>
    </row>
    <row r="42" spans="1:13" x14ac:dyDescent="0.3">
      <c r="A42">
        <v>10018</v>
      </c>
      <c r="B42" t="s">
        <v>122</v>
      </c>
      <c r="C42" t="s">
        <v>179</v>
      </c>
      <c r="D42" t="s">
        <v>180</v>
      </c>
      <c r="E42" t="s">
        <v>61</v>
      </c>
      <c r="F42" t="s">
        <v>50</v>
      </c>
      <c r="G42" t="s">
        <v>62</v>
      </c>
      <c r="H42">
        <v>9</v>
      </c>
      <c r="I42">
        <v>65</v>
      </c>
      <c r="J42">
        <v>0.2</v>
      </c>
      <c r="K42">
        <v>468</v>
      </c>
      <c r="L42">
        <v>95.98</v>
      </c>
      <c r="M42" t="s">
        <v>46</v>
      </c>
    </row>
    <row r="43" spans="1:13" x14ac:dyDescent="0.3">
      <c r="A43">
        <v>10102</v>
      </c>
      <c r="B43" t="s">
        <v>181</v>
      </c>
      <c r="C43" t="s">
        <v>182</v>
      </c>
      <c r="D43" t="s">
        <v>183</v>
      </c>
      <c r="E43" t="s">
        <v>91</v>
      </c>
      <c r="F43" t="s">
        <v>56</v>
      </c>
      <c r="G43" t="s">
        <v>57</v>
      </c>
      <c r="H43">
        <v>8</v>
      </c>
      <c r="I43">
        <v>55</v>
      </c>
      <c r="J43">
        <v>0</v>
      </c>
      <c r="K43">
        <v>440</v>
      </c>
      <c r="L43">
        <v>100.21</v>
      </c>
      <c r="M43" t="s">
        <v>63</v>
      </c>
    </row>
    <row r="44" spans="1:13" x14ac:dyDescent="0.3">
      <c r="A44">
        <v>10016</v>
      </c>
      <c r="B44" t="s">
        <v>184</v>
      </c>
      <c r="C44" t="s">
        <v>131</v>
      </c>
      <c r="D44" t="s">
        <v>73</v>
      </c>
      <c r="E44" t="s">
        <v>91</v>
      </c>
      <c r="F44" t="s">
        <v>44</v>
      </c>
      <c r="G44" t="s">
        <v>156</v>
      </c>
      <c r="H44">
        <v>1</v>
      </c>
      <c r="I44">
        <v>27</v>
      </c>
      <c r="J44">
        <v>0</v>
      </c>
      <c r="K44">
        <v>27</v>
      </c>
      <c r="L44">
        <v>10.67</v>
      </c>
      <c r="M44" t="s">
        <v>63</v>
      </c>
    </row>
    <row r="45" spans="1:13" x14ac:dyDescent="0.3">
      <c r="A45">
        <v>10096</v>
      </c>
      <c r="B45" t="s">
        <v>185</v>
      </c>
      <c r="C45" t="s">
        <v>186</v>
      </c>
      <c r="D45" t="s">
        <v>170</v>
      </c>
      <c r="E45" t="s">
        <v>91</v>
      </c>
      <c r="F45" t="s">
        <v>50</v>
      </c>
      <c r="G45" t="s">
        <v>84</v>
      </c>
      <c r="H45">
        <v>4</v>
      </c>
      <c r="I45">
        <v>75.5</v>
      </c>
      <c r="J45">
        <v>0</v>
      </c>
      <c r="K45">
        <v>302</v>
      </c>
      <c r="L45">
        <v>60.3</v>
      </c>
      <c r="M45" t="s">
        <v>52</v>
      </c>
    </row>
    <row r="46" spans="1:13" x14ac:dyDescent="0.3">
      <c r="A46">
        <v>10129</v>
      </c>
      <c r="B46" t="s">
        <v>187</v>
      </c>
      <c r="C46" t="s">
        <v>188</v>
      </c>
      <c r="D46" t="s">
        <v>189</v>
      </c>
      <c r="E46" t="s">
        <v>43</v>
      </c>
      <c r="F46" t="s">
        <v>50</v>
      </c>
      <c r="G46" t="s">
        <v>84</v>
      </c>
      <c r="H46">
        <v>8</v>
      </c>
      <c r="I46">
        <v>75.5</v>
      </c>
      <c r="J46">
        <v>0.05</v>
      </c>
      <c r="K46">
        <v>573.79999999999995</v>
      </c>
      <c r="L46">
        <v>100.61</v>
      </c>
      <c r="M46" t="s">
        <v>52</v>
      </c>
    </row>
    <row r="47" spans="1:13" x14ac:dyDescent="0.3">
      <c r="A47">
        <v>10246</v>
      </c>
      <c r="B47" t="s">
        <v>190</v>
      </c>
      <c r="C47" t="s">
        <v>186</v>
      </c>
      <c r="D47" t="s">
        <v>87</v>
      </c>
      <c r="E47" t="s">
        <v>74</v>
      </c>
      <c r="F47" t="s">
        <v>50</v>
      </c>
      <c r="G47" t="s">
        <v>62</v>
      </c>
      <c r="H47">
        <v>6</v>
      </c>
      <c r="I47">
        <v>65</v>
      </c>
      <c r="J47">
        <v>0.2</v>
      </c>
      <c r="K47">
        <v>312</v>
      </c>
      <c r="L47">
        <v>48.51</v>
      </c>
      <c r="M47" t="s">
        <v>63</v>
      </c>
    </row>
    <row r="48" spans="1:13" x14ac:dyDescent="0.3">
      <c r="A48">
        <v>10266</v>
      </c>
      <c r="B48" t="s">
        <v>191</v>
      </c>
      <c r="C48" t="s">
        <v>192</v>
      </c>
      <c r="D48" t="s">
        <v>193</v>
      </c>
      <c r="E48" t="s">
        <v>125</v>
      </c>
      <c r="F48" t="s">
        <v>56</v>
      </c>
      <c r="G48" t="s">
        <v>149</v>
      </c>
      <c r="H48">
        <v>3</v>
      </c>
      <c r="I48">
        <v>42</v>
      </c>
      <c r="J48">
        <v>0.1</v>
      </c>
      <c r="K48">
        <v>113.4</v>
      </c>
      <c r="L48">
        <v>23.46</v>
      </c>
      <c r="M48" t="s">
        <v>63</v>
      </c>
    </row>
    <row r="49" spans="1:13" x14ac:dyDescent="0.3">
      <c r="A49">
        <v>10064</v>
      </c>
      <c r="B49" t="s">
        <v>194</v>
      </c>
      <c r="C49" t="s">
        <v>195</v>
      </c>
      <c r="D49" t="s">
        <v>196</v>
      </c>
      <c r="E49" t="s">
        <v>125</v>
      </c>
      <c r="F49" t="s">
        <v>50</v>
      </c>
      <c r="G49" t="s">
        <v>51</v>
      </c>
      <c r="H49">
        <v>8</v>
      </c>
      <c r="I49">
        <v>120</v>
      </c>
      <c r="J49">
        <v>0</v>
      </c>
      <c r="K49">
        <v>960</v>
      </c>
      <c r="L49">
        <v>176.12</v>
      </c>
      <c r="M49" t="s">
        <v>46</v>
      </c>
    </row>
    <row r="50" spans="1:13" x14ac:dyDescent="0.3">
      <c r="A50">
        <v>10163</v>
      </c>
      <c r="B50" t="s">
        <v>96</v>
      </c>
      <c r="C50" t="s">
        <v>197</v>
      </c>
      <c r="D50" t="s">
        <v>198</v>
      </c>
      <c r="E50" t="s">
        <v>125</v>
      </c>
      <c r="F50" t="s">
        <v>56</v>
      </c>
      <c r="G50" t="s">
        <v>57</v>
      </c>
      <c r="H50">
        <v>1</v>
      </c>
      <c r="I50">
        <v>55</v>
      </c>
      <c r="J50">
        <v>0.2</v>
      </c>
      <c r="K50">
        <v>44</v>
      </c>
      <c r="L50">
        <v>8.3800000000000008</v>
      </c>
      <c r="M50" t="s">
        <v>63</v>
      </c>
    </row>
    <row r="51" spans="1:13" x14ac:dyDescent="0.3">
      <c r="A51">
        <v>10033</v>
      </c>
      <c r="B51" t="s">
        <v>199</v>
      </c>
      <c r="C51" t="s">
        <v>200</v>
      </c>
      <c r="D51" t="s">
        <v>201</v>
      </c>
      <c r="E51" t="s">
        <v>74</v>
      </c>
      <c r="F51" t="s">
        <v>75</v>
      </c>
      <c r="G51" t="s">
        <v>202</v>
      </c>
      <c r="H51">
        <v>6</v>
      </c>
      <c r="I51">
        <v>34.5</v>
      </c>
      <c r="J51">
        <v>0.1</v>
      </c>
      <c r="K51">
        <v>186.3</v>
      </c>
      <c r="L51">
        <v>46.81</v>
      </c>
      <c r="M51" t="s">
        <v>46</v>
      </c>
    </row>
    <row r="52" spans="1:13" x14ac:dyDescent="0.3">
      <c r="A52">
        <v>10140</v>
      </c>
      <c r="B52" t="s">
        <v>203</v>
      </c>
      <c r="C52" t="s">
        <v>204</v>
      </c>
      <c r="D52" t="s">
        <v>205</v>
      </c>
      <c r="E52" t="s">
        <v>125</v>
      </c>
      <c r="F52" t="s">
        <v>44</v>
      </c>
      <c r="G52" t="s">
        <v>45</v>
      </c>
      <c r="H52">
        <v>3</v>
      </c>
      <c r="I52">
        <v>4.25</v>
      </c>
      <c r="J52">
        <v>0.1</v>
      </c>
      <c r="K52">
        <v>11.47</v>
      </c>
      <c r="L52">
        <v>3.76</v>
      </c>
      <c r="M52" t="s">
        <v>52</v>
      </c>
    </row>
    <row r="53" spans="1:13" x14ac:dyDescent="0.3">
      <c r="A53">
        <v>10112</v>
      </c>
      <c r="B53" t="s">
        <v>206</v>
      </c>
      <c r="C53" t="s">
        <v>114</v>
      </c>
      <c r="E53" t="s">
        <v>74</v>
      </c>
      <c r="F53" t="s">
        <v>56</v>
      </c>
      <c r="G53" t="s">
        <v>149</v>
      </c>
      <c r="H53">
        <v>4</v>
      </c>
      <c r="I53">
        <v>42</v>
      </c>
      <c r="J53">
        <v>0</v>
      </c>
      <c r="K53">
        <v>168</v>
      </c>
      <c r="L53">
        <v>40.14</v>
      </c>
      <c r="M53" t="s">
        <v>46</v>
      </c>
    </row>
    <row r="54" spans="1:13" x14ac:dyDescent="0.3">
      <c r="A54">
        <v>10190</v>
      </c>
      <c r="B54" t="s">
        <v>207</v>
      </c>
      <c r="C54" t="s">
        <v>59</v>
      </c>
      <c r="D54" t="s">
        <v>208</v>
      </c>
      <c r="E54" t="s">
        <v>74</v>
      </c>
      <c r="F54" t="s">
        <v>50</v>
      </c>
      <c r="G54" t="s">
        <v>62</v>
      </c>
      <c r="H54">
        <v>10</v>
      </c>
      <c r="I54">
        <v>65</v>
      </c>
      <c r="J54">
        <v>0</v>
      </c>
      <c r="K54">
        <v>650</v>
      </c>
      <c r="L54">
        <v>117.09</v>
      </c>
      <c r="M54" t="s">
        <v>46</v>
      </c>
    </row>
    <row r="55" spans="1:13" x14ac:dyDescent="0.3">
      <c r="A55">
        <v>10083</v>
      </c>
      <c r="B55" t="s">
        <v>209</v>
      </c>
      <c r="C55" t="s">
        <v>210</v>
      </c>
      <c r="D55" t="s">
        <v>211</v>
      </c>
      <c r="E55" t="s">
        <v>74</v>
      </c>
      <c r="F55" t="s">
        <v>75</v>
      </c>
      <c r="G55" t="s">
        <v>202</v>
      </c>
      <c r="H55">
        <v>4</v>
      </c>
      <c r="I55">
        <v>34.5</v>
      </c>
      <c r="J55">
        <v>0</v>
      </c>
      <c r="K55">
        <v>138</v>
      </c>
      <c r="L55">
        <v>39.24</v>
      </c>
      <c r="M55" t="s">
        <v>52</v>
      </c>
    </row>
    <row r="56" spans="1:13" x14ac:dyDescent="0.3">
      <c r="A56">
        <v>10231</v>
      </c>
      <c r="B56" t="s">
        <v>212</v>
      </c>
      <c r="C56" t="s">
        <v>213</v>
      </c>
      <c r="D56" t="s">
        <v>214</v>
      </c>
      <c r="E56" t="s">
        <v>61</v>
      </c>
      <c r="F56" t="s">
        <v>50</v>
      </c>
      <c r="G56" t="s">
        <v>51</v>
      </c>
      <c r="H56">
        <v>7</v>
      </c>
      <c r="I56">
        <v>120</v>
      </c>
      <c r="J56">
        <v>0.15</v>
      </c>
      <c r="K56">
        <v>714</v>
      </c>
      <c r="L56">
        <v>147.52000000000001</v>
      </c>
      <c r="M56" t="s">
        <v>52</v>
      </c>
    </row>
    <row r="57" spans="1:13" x14ac:dyDescent="0.3">
      <c r="A57">
        <v>10011</v>
      </c>
      <c r="B57" t="s">
        <v>215</v>
      </c>
      <c r="C57" t="s">
        <v>151</v>
      </c>
      <c r="D57" t="s">
        <v>216</v>
      </c>
      <c r="E57" t="s">
        <v>91</v>
      </c>
      <c r="F57" t="s">
        <v>56</v>
      </c>
      <c r="G57" t="s">
        <v>217</v>
      </c>
      <c r="H57">
        <v>7</v>
      </c>
      <c r="I57">
        <v>8</v>
      </c>
      <c r="J57">
        <v>0.15</v>
      </c>
      <c r="K57">
        <v>47.6</v>
      </c>
      <c r="L57">
        <v>9.59</v>
      </c>
      <c r="M57" t="s">
        <v>52</v>
      </c>
    </row>
    <row r="58" spans="1:13" x14ac:dyDescent="0.3">
      <c r="A58">
        <v>10269</v>
      </c>
      <c r="B58" t="s">
        <v>218</v>
      </c>
      <c r="C58" t="s">
        <v>219</v>
      </c>
      <c r="D58" t="s">
        <v>220</v>
      </c>
      <c r="E58" t="s">
        <v>74</v>
      </c>
      <c r="F58" t="s">
        <v>56</v>
      </c>
      <c r="G58" t="s">
        <v>57</v>
      </c>
      <c r="H58">
        <v>7</v>
      </c>
      <c r="I58">
        <v>55</v>
      </c>
      <c r="J58">
        <v>0</v>
      </c>
      <c r="K58">
        <v>385</v>
      </c>
      <c r="L58">
        <v>79.63</v>
      </c>
      <c r="M58" t="s">
        <v>52</v>
      </c>
    </row>
    <row r="59" spans="1:13" x14ac:dyDescent="0.3">
      <c r="A59">
        <v>10121</v>
      </c>
      <c r="B59" t="s">
        <v>209</v>
      </c>
      <c r="C59" t="s">
        <v>221</v>
      </c>
      <c r="D59" t="s">
        <v>165</v>
      </c>
      <c r="E59" t="s">
        <v>91</v>
      </c>
      <c r="F59" t="s">
        <v>75</v>
      </c>
      <c r="G59" t="s">
        <v>126</v>
      </c>
      <c r="H59">
        <v>6</v>
      </c>
      <c r="I59">
        <v>12.99</v>
      </c>
      <c r="J59">
        <v>0.05</v>
      </c>
      <c r="K59">
        <v>74.040000000000006</v>
      </c>
      <c r="L59">
        <v>23.77</v>
      </c>
      <c r="M59" t="s">
        <v>63</v>
      </c>
    </row>
    <row r="60" spans="1:13" x14ac:dyDescent="0.3">
      <c r="A60">
        <v>10230</v>
      </c>
      <c r="B60" t="s">
        <v>222</v>
      </c>
      <c r="C60" t="s">
        <v>223</v>
      </c>
      <c r="D60" t="s">
        <v>224</v>
      </c>
      <c r="E60" t="s">
        <v>61</v>
      </c>
      <c r="F60" t="s">
        <v>44</v>
      </c>
      <c r="G60" t="s">
        <v>67</v>
      </c>
      <c r="H60">
        <v>9</v>
      </c>
      <c r="I60">
        <v>5.5</v>
      </c>
      <c r="J60">
        <v>0</v>
      </c>
      <c r="K60">
        <v>49.5</v>
      </c>
      <c r="L60">
        <v>19.579999999999998</v>
      </c>
      <c r="M60" t="s">
        <v>63</v>
      </c>
    </row>
    <row r="61" spans="1:13" x14ac:dyDescent="0.3">
      <c r="A61">
        <v>10376</v>
      </c>
      <c r="B61" t="s">
        <v>225</v>
      </c>
      <c r="C61" t="s">
        <v>226</v>
      </c>
      <c r="D61" t="s">
        <v>227</v>
      </c>
      <c r="E61" t="s">
        <v>91</v>
      </c>
      <c r="F61" t="s">
        <v>44</v>
      </c>
      <c r="G61" t="s">
        <v>67</v>
      </c>
      <c r="H61">
        <v>9</v>
      </c>
      <c r="I61">
        <v>5.5</v>
      </c>
      <c r="J61">
        <v>0</v>
      </c>
      <c r="K61">
        <v>49.5</v>
      </c>
      <c r="L61">
        <v>15.07</v>
      </c>
      <c r="M61" t="s">
        <v>63</v>
      </c>
    </row>
    <row r="62" spans="1:13" x14ac:dyDescent="0.3">
      <c r="A62">
        <v>10217</v>
      </c>
      <c r="B62" t="s">
        <v>228</v>
      </c>
      <c r="C62" t="s">
        <v>229</v>
      </c>
      <c r="D62" t="s">
        <v>230</v>
      </c>
      <c r="F62" t="s">
        <v>75</v>
      </c>
      <c r="G62" t="s">
        <v>202</v>
      </c>
      <c r="H62">
        <v>7</v>
      </c>
      <c r="I62">
        <v>34.5</v>
      </c>
      <c r="J62">
        <v>0</v>
      </c>
      <c r="K62">
        <v>241.5</v>
      </c>
      <c r="L62">
        <v>76.42</v>
      </c>
      <c r="M62" t="s">
        <v>52</v>
      </c>
    </row>
    <row r="63" spans="1:13" x14ac:dyDescent="0.3">
      <c r="A63">
        <v>10268</v>
      </c>
      <c r="B63" t="s">
        <v>231</v>
      </c>
      <c r="C63" t="s">
        <v>232</v>
      </c>
      <c r="D63" t="s">
        <v>233</v>
      </c>
      <c r="E63" t="s">
        <v>61</v>
      </c>
      <c r="F63" t="s">
        <v>50</v>
      </c>
      <c r="G63" t="s">
        <v>84</v>
      </c>
      <c r="H63">
        <v>2</v>
      </c>
      <c r="I63">
        <v>75.5</v>
      </c>
      <c r="J63">
        <v>0</v>
      </c>
      <c r="K63">
        <v>151</v>
      </c>
      <c r="L63">
        <v>25.59</v>
      </c>
      <c r="M63" t="s">
        <v>46</v>
      </c>
    </row>
    <row r="64" spans="1:13" x14ac:dyDescent="0.3">
      <c r="A64">
        <v>10252</v>
      </c>
      <c r="B64" t="s">
        <v>234</v>
      </c>
      <c r="C64" t="s">
        <v>182</v>
      </c>
      <c r="D64" t="s">
        <v>235</v>
      </c>
      <c r="E64" t="s">
        <v>74</v>
      </c>
      <c r="F64" t="s">
        <v>44</v>
      </c>
      <c r="G64" t="s">
        <v>67</v>
      </c>
      <c r="H64">
        <v>9</v>
      </c>
      <c r="I64">
        <v>5.5</v>
      </c>
      <c r="J64">
        <v>0.2</v>
      </c>
      <c r="K64">
        <v>39.6</v>
      </c>
      <c r="L64">
        <v>15.13</v>
      </c>
      <c r="M64" t="s">
        <v>63</v>
      </c>
    </row>
    <row r="65" spans="1:13" x14ac:dyDescent="0.3">
      <c r="A65">
        <v>10343</v>
      </c>
      <c r="B65" t="s">
        <v>53</v>
      </c>
      <c r="C65" t="s">
        <v>236</v>
      </c>
      <c r="D65" t="s">
        <v>211</v>
      </c>
      <c r="E65" t="s">
        <v>61</v>
      </c>
      <c r="F65" t="s">
        <v>56</v>
      </c>
      <c r="G65" t="s">
        <v>57</v>
      </c>
      <c r="H65">
        <v>10</v>
      </c>
      <c r="I65">
        <v>55</v>
      </c>
      <c r="J65">
        <v>0.15</v>
      </c>
      <c r="K65">
        <v>467.5</v>
      </c>
      <c r="L65">
        <v>99.41</v>
      </c>
      <c r="M65" t="s">
        <v>52</v>
      </c>
    </row>
    <row r="66" spans="1:13" x14ac:dyDescent="0.3">
      <c r="A66">
        <v>10345</v>
      </c>
      <c r="B66" t="s">
        <v>237</v>
      </c>
      <c r="C66" t="s">
        <v>238</v>
      </c>
      <c r="D66" t="s">
        <v>239</v>
      </c>
      <c r="E66" t="s">
        <v>125</v>
      </c>
      <c r="F66" t="s">
        <v>50</v>
      </c>
      <c r="G66" t="s">
        <v>62</v>
      </c>
      <c r="H66">
        <v>9</v>
      </c>
      <c r="I66">
        <v>65</v>
      </c>
      <c r="J66">
        <v>0</v>
      </c>
      <c r="K66">
        <v>585</v>
      </c>
      <c r="L66">
        <v>113.64</v>
      </c>
      <c r="M66" t="s">
        <v>52</v>
      </c>
    </row>
    <row r="67" spans="1:13" x14ac:dyDescent="0.3">
      <c r="A67">
        <v>10248</v>
      </c>
      <c r="B67" t="s">
        <v>240</v>
      </c>
      <c r="C67" t="s">
        <v>241</v>
      </c>
      <c r="D67" t="s">
        <v>124</v>
      </c>
      <c r="E67" t="s">
        <v>91</v>
      </c>
      <c r="F67" t="s">
        <v>44</v>
      </c>
      <c r="G67" t="s">
        <v>146</v>
      </c>
      <c r="H67">
        <v>8</v>
      </c>
      <c r="I67">
        <v>3.1</v>
      </c>
      <c r="J67">
        <v>0.25</v>
      </c>
      <c r="K67">
        <v>18.600000000000001</v>
      </c>
      <c r="L67">
        <v>6.43</v>
      </c>
      <c r="M67" t="s">
        <v>63</v>
      </c>
    </row>
    <row r="68" spans="1:13" x14ac:dyDescent="0.3">
      <c r="A68">
        <v>10056</v>
      </c>
      <c r="B68" t="s">
        <v>212</v>
      </c>
      <c r="C68" t="s">
        <v>158</v>
      </c>
      <c r="D68" t="s">
        <v>242</v>
      </c>
      <c r="E68" t="s">
        <v>125</v>
      </c>
      <c r="F68" t="s">
        <v>44</v>
      </c>
      <c r="G68" t="s">
        <v>146</v>
      </c>
      <c r="H68">
        <v>6</v>
      </c>
      <c r="I68">
        <v>3.1</v>
      </c>
      <c r="J68">
        <v>0</v>
      </c>
      <c r="K68">
        <v>18.600000000000001</v>
      </c>
      <c r="L68">
        <v>5.8</v>
      </c>
      <c r="M68" t="s">
        <v>46</v>
      </c>
    </row>
    <row r="69" spans="1:13" x14ac:dyDescent="0.3">
      <c r="A69">
        <v>10143</v>
      </c>
      <c r="B69" t="s">
        <v>243</v>
      </c>
      <c r="C69" t="s">
        <v>244</v>
      </c>
      <c r="D69" t="s">
        <v>208</v>
      </c>
      <c r="E69" t="s">
        <v>61</v>
      </c>
      <c r="F69" t="s">
        <v>44</v>
      </c>
      <c r="G69" t="s">
        <v>67</v>
      </c>
      <c r="H69">
        <v>7</v>
      </c>
      <c r="I69">
        <v>5.5</v>
      </c>
      <c r="J69">
        <v>0</v>
      </c>
      <c r="K69">
        <v>38.5</v>
      </c>
      <c r="L69">
        <v>15.36</v>
      </c>
      <c r="M69" t="s">
        <v>52</v>
      </c>
    </row>
    <row r="70" spans="1:13" x14ac:dyDescent="0.3">
      <c r="A70">
        <v>10317</v>
      </c>
      <c r="B70" t="s">
        <v>107</v>
      </c>
      <c r="C70" t="s">
        <v>245</v>
      </c>
      <c r="D70" t="s">
        <v>246</v>
      </c>
      <c r="E70" t="s">
        <v>61</v>
      </c>
      <c r="F70" t="s">
        <v>75</v>
      </c>
      <c r="G70" t="s">
        <v>76</v>
      </c>
      <c r="H70">
        <v>7</v>
      </c>
      <c r="I70">
        <v>22</v>
      </c>
      <c r="J70">
        <v>0.05</v>
      </c>
      <c r="K70">
        <v>146.30000000000001</v>
      </c>
      <c r="L70">
        <v>35.53</v>
      </c>
      <c r="M70" t="s">
        <v>63</v>
      </c>
    </row>
    <row r="71" spans="1:13" x14ac:dyDescent="0.3">
      <c r="A71">
        <v>10271</v>
      </c>
      <c r="B71" t="s">
        <v>247</v>
      </c>
      <c r="C71" t="s">
        <v>221</v>
      </c>
      <c r="D71" t="s">
        <v>248</v>
      </c>
      <c r="E71" t="s">
        <v>61</v>
      </c>
      <c r="F71" t="s">
        <v>44</v>
      </c>
      <c r="G71" t="s">
        <v>67</v>
      </c>
      <c r="H71">
        <v>10</v>
      </c>
      <c r="I71">
        <v>5.5</v>
      </c>
      <c r="J71">
        <v>0.05</v>
      </c>
      <c r="K71">
        <v>52.25</v>
      </c>
      <c r="L71">
        <v>18.79</v>
      </c>
      <c r="M71" t="s">
        <v>46</v>
      </c>
    </row>
    <row r="72" spans="1:13" x14ac:dyDescent="0.3">
      <c r="A72">
        <v>10200</v>
      </c>
      <c r="B72" t="s">
        <v>249</v>
      </c>
      <c r="C72" t="s">
        <v>250</v>
      </c>
      <c r="D72" t="s">
        <v>139</v>
      </c>
      <c r="E72" t="s">
        <v>43</v>
      </c>
      <c r="F72" t="s">
        <v>56</v>
      </c>
      <c r="G72" t="s">
        <v>133</v>
      </c>
      <c r="H72">
        <v>10</v>
      </c>
      <c r="I72">
        <v>9.99</v>
      </c>
      <c r="J72">
        <v>0.05</v>
      </c>
      <c r="K72">
        <v>94.91</v>
      </c>
      <c r="L72">
        <v>20.02</v>
      </c>
      <c r="M72" t="s">
        <v>52</v>
      </c>
    </row>
    <row r="73" spans="1:13" x14ac:dyDescent="0.3">
      <c r="A73">
        <v>10267</v>
      </c>
      <c r="B73" t="s">
        <v>251</v>
      </c>
      <c r="C73" t="s">
        <v>252</v>
      </c>
      <c r="D73" t="s">
        <v>253</v>
      </c>
      <c r="F73" t="s">
        <v>44</v>
      </c>
      <c r="G73" t="s">
        <v>156</v>
      </c>
      <c r="H73">
        <v>5</v>
      </c>
      <c r="I73">
        <v>27</v>
      </c>
      <c r="J73">
        <v>0.25</v>
      </c>
      <c r="K73">
        <v>101.25</v>
      </c>
      <c r="L73">
        <v>38.44</v>
      </c>
      <c r="M73" t="s">
        <v>63</v>
      </c>
    </row>
    <row r="74" spans="1:13" x14ac:dyDescent="0.3">
      <c r="A74">
        <v>10145</v>
      </c>
      <c r="B74" t="s">
        <v>254</v>
      </c>
      <c r="C74" t="s">
        <v>255</v>
      </c>
      <c r="D74" t="s">
        <v>256</v>
      </c>
      <c r="E74" t="s">
        <v>74</v>
      </c>
      <c r="F74" t="s">
        <v>44</v>
      </c>
      <c r="G74" t="s">
        <v>45</v>
      </c>
      <c r="H74">
        <v>6</v>
      </c>
      <c r="I74">
        <v>4.25</v>
      </c>
      <c r="J74">
        <v>0</v>
      </c>
      <c r="K74">
        <v>25.5</v>
      </c>
      <c r="L74">
        <v>7.79</v>
      </c>
      <c r="M74" t="s">
        <v>46</v>
      </c>
    </row>
    <row r="75" spans="1:13" x14ac:dyDescent="0.3">
      <c r="A75">
        <v>10002</v>
      </c>
      <c r="B75" t="s">
        <v>257</v>
      </c>
      <c r="C75" t="s">
        <v>258</v>
      </c>
      <c r="D75" t="s">
        <v>259</v>
      </c>
      <c r="E75" t="s">
        <v>61</v>
      </c>
      <c r="F75" t="s">
        <v>75</v>
      </c>
      <c r="G75" t="s">
        <v>126</v>
      </c>
      <c r="H75">
        <v>2</v>
      </c>
      <c r="I75">
        <v>12.99</v>
      </c>
      <c r="J75">
        <v>0.05</v>
      </c>
      <c r="K75">
        <v>24.68</v>
      </c>
      <c r="L75">
        <v>6.36</v>
      </c>
      <c r="M75" t="s">
        <v>46</v>
      </c>
    </row>
    <row r="76" spans="1:13" x14ac:dyDescent="0.3">
      <c r="A76">
        <v>10041</v>
      </c>
      <c r="B76" t="s">
        <v>187</v>
      </c>
      <c r="C76" t="s">
        <v>260</v>
      </c>
      <c r="D76" t="s">
        <v>261</v>
      </c>
      <c r="E76" t="s">
        <v>43</v>
      </c>
      <c r="F76" t="s">
        <v>56</v>
      </c>
      <c r="G76" t="s">
        <v>133</v>
      </c>
      <c r="H76">
        <v>8</v>
      </c>
      <c r="I76">
        <v>9.99</v>
      </c>
      <c r="J76">
        <v>0.05</v>
      </c>
      <c r="K76">
        <v>75.92</v>
      </c>
      <c r="L76">
        <v>15.2</v>
      </c>
      <c r="M76" t="s">
        <v>52</v>
      </c>
    </row>
    <row r="77" spans="1:13" x14ac:dyDescent="0.3">
      <c r="A77">
        <v>10367</v>
      </c>
      <c r="B77" t="s">
        <v>262</v>
      </c>
      <c r="C77" t="s">
        <v>229</v>
      </c>
      <c r="D77" t="s">
        <v>263</v>
      </c>
      <c r="E77" t="s">
        <v>91</v>
      </c>
      <c r="F77" t="s">
        <v>50</v>
      </c>
      <c r="G77" t="s">
        <v>80</v>
      </c>
      <c r="H77">
        <v>8</v>
      </c>
      <c r="I77">
        <v>89</v>
      </c>
      <c r="J77">
        <v>0</v>
      </c>
      <c r="K77">
        <v>712</v>
      </c>
      <c r="L77">
        <v>145.43</v>
      </c>
      <c r="M77" t="s">
        <v>63</v>
      </c>
    </row>
    <row r="78" spans="1:13" x14ac:dyDescent="0.3">
      <c r="A78">
        <v>10009</v>
      </c>
      <c r="B78" t="s">
        <v>264</v>
      </c>
      <c r="C78" t="s">
        <v>265</v>
      </c>
      <c r="D78" t="s">
        <v>266</v>
      </c>
      <c r="E78" t="s">
        <v>74</v>
      </c>
      <c r="F78" t="s">
        <v>75</v>
      </c>
      <c r="G78" t="s">
        <v>202</v>
      </c>
      <c r="H78">
        <v>1</v>
      </c>
      <c r="I78">
        <v>34.5</v>
      </c>
      <c r="J78">
        <v>0.15</v>
      </c>
      <c r="K78">
        <v>29.32</v>
      </c>
      <c r="L78">
        <v>7.97</v>
      </c>
      <c r="M78" t="s">
        <v>46</v>
      </c>
    </row>
    <row r="79" spans="1:13" x14ac:dyDescent="0.3">
      <c r="A79">
        <v>10342</v>
      </c>
      <c r="B79" t="s">
        <v>247</v>
      </c>
      <c r="C79" t="s">
        <v>267</v>
      </c>
      <c r="D79" t="s">
        <v>268</v>
      </c>
      <c r="E79" t="s">
        <v>61</v>
      </c>
      <c r="F79" t="s">
        <v>50</v>
      </c>
      <c r="G79" t="s">
        <v>84</v>
      </c>
      <c r="H79">
        <v>4</v>
      </c>
      <c r="I79">
        <v>75.5</v>
      </c>
      <c r="J79">
        <v>0.05</v>
      </c>
      <c r="K79">
        <v>286.89999999999998</v>
      </c>
      <c r="L79">
        <v>53.67</v>
      </c>
      <c r="M79" t="s">
        <v>52</v>
      </c>
    </row>
    <row r="80" spans="1:13" x14ac:dyDescent="0.3">
      <c r="A80">
        <v>10186</v>
      </c>
      <c r="B80" t="s">
        <v>269</v>
      </c>
      <c r="C80" t="s">
        <v>270</v>
      </c>
      <c r="D80" t="s">
        <v>271</v>
      </c>
      <c r="E80" t="s">
        <v>91</v>
      </c>
      <c r="F80" t="s">
        <v>75</v>
      </c>
      <c r="G80" t="s">
        <v>126</v>
      </c>
      <c r="H80">
        <v>5</v>
      </c>
      <c r="I80">
        <v>12.99</v>
      </c>
      <c r="J80">
        <v>0.2</v>
      </c>
      <c r="K80">
        <v>51.96</v>
      </c>
      <c r="L80">
        <v>16.73</v>
      </c>
      <c r="M80" t="s">
        <v>52</v>
      </c>
    </row>
    <row r="81" spans="1:13" x14ac:dyDescent="0.3">
      <c r="A81">
        <v>10202</v>
      </c>
      <c r="B81" t="s">
        <v>272</v>
      </c>
      <c r="C81" t="s">
        <v>273</v>
      </c>
      <c r="D81" t="s">
        <v>274</v>
      </c>
      <c r="E81" t="s">
        <v>91</v>
      </c>
      <c r="F81" t="s">
        <v>44</v>
      </c>
      <c r="G81" t="s">
        <v>45</v>
      </c>
      <c r="H81">
        <v>4</v>
      </c>
      <c r="I81">
        <v>4.25</v>
      </c>
      <c r="J81">
        <v>0.2</v>
      </c>
      <c r="K81">
        <v>13.6</v>
      </c>
      <c r="L81">
        <v>4.76</v>
      </c>
      <c r="M81" t="s">
        <v>63</v>
      </c>
    </row>
    <row r="82" spans="1:13" x14ac:dyDescent="0.3">
      <c r="A82">
        <v>10101</v>
      </c>
      <c r="B82" t="s">
        <v>275</v>
      </c>
      <c r="C82" t="s">
        <v>276</v>
      </c>
      <c r="D82" t="s">
        <v>277</v>
      </c>
      <c r="E82" t="s">
        <v>61</v>
      </c>
      <c r="F82" t="s">
        <v>50</v>
      </c>
      <c r="G82" t="s">
        <v>80</v>
      </c>
      <c r="H82">
        <v>8</v>
      </c>
      <c r="I82">
        <v>89</v>
      </c>
      <c r="J82">
        <v>0.1</v>
      </c>
      <c r="K82">
        <v>640.79999999999995</v>
      </c>
      <c r="L82">
        <v>109.76</v>
      </c>
      <c r="M82" t="s">
        <v>52</v>
      </c>
    </row>
    <row r="83" spans="1:13" x14ac:dyDescent="0.3">
      <c r="A83">
        <v>10063</v>
      </c>
      <c r="B83" t="s">
        <v>278</v>
      </c>
      <c r="C83" t="s">
        <v>120</v>
      </c>
      <c r="D83" t="s">
        <v>279</v>
      </c>
      <c r="E83" t="s">
        <v>43</v>
      </c>
      <c r="F83" t="s">
        <v>44</v>
      </c>
      <c r="G83" t="s">
        <v>45</v>
      </c>
      <c r="H83">
        <v>2</v>
      </c>
      <c r="I83">
        <v>4.25</v>
      </c>
      <c r="J83">
        <v>0</v>
      </c>
      <c r="K83">
        <v>8.5</v>
      </c>
      <c r="L83">
        <v>3.2</v>
      </c>
      <c r="M83" t="s">
        <v>63</v>
      </c>
    </row>
    <row r="84" spans="1:13" x14ac:dyDescent="0.3">
      <c r="A84">
        <v>10280</v>
      </c>
      <c r="B84" t="s">
        <v>77</v>
      </c>
      <c r="C84" t="s">
        <v>280</v>
      </c>
      <c r="D84" t="s">
        <v>205</v>
      </c>
      <c r="E84" t="s">
        <v>61</v>
      </c>
      <c r="F84" t="s">
        <v>44</v>
      </c>
      <c r="G84" t="s">
        <v>67</v>
      </c>
      <c r="H84">
        <v>5</v>
      </c>
      <c r="I84">
        <v>5.5</v>
      </c>
      <c r="J84">
        <v>0</v>
      </c>
      <c r="K84">
        <v>27.5</v>
      </c>
      <c r="L84">
        <v>10.52</v>
      </c>
      <c r="M84" t="s">
        <v>52</v>
      </c>
    </row>
    <row r="85" spans="1:13" x14ac:dyDescent="0.3">
      <c r="A85">
        <v>10326</v>
      </c>
      <c r="B85" t="s">
        <v>281</v>
      </c>
      <c r="C85" t="s">
        <v>282</v>
      </c>
      <c r="D85" t="s">
        <v>118</v>
      </c>
      <c r="E85" t="s">
        <v>61</v>
      </c>
      <c r="F85" t="s">
        <v>75</v>
      </c>
      <c r="G85" t="s">
        <v>76</v>
      </c>
      <c r="H85">
        <v>4</v>
      </c>
      <c r="I85">
        <v>22</v>
      </c>
      <c r="J85">
        <v>0.1</v>
      </c>
      <c r="K85">
        <v>79.2</v>
      </c>
      <c r="L85">
        <v>22.6</v>
      </c>
      <c r="M85" t="s">
        <v>63</v>
      </c>
    </row>
    <row r="86" spans="1:13" x14ac:dyDescent="0.3">
      <c r="A86">
        <v>10307</v>
      </c>
      <c r="B86" t="s">
        <v>283</v>
      </c>
      <c r="C86" t="s">
        <v>69</v>
      </c>
      <c r="D86" t="s">
        <v>284</v>
      </c>
      <c r="E86" t="s">
        <v>125</v>
      </c>
      <c r="F86" t="s">
        <v>56</v>
      </c>
      <c r="G86" t="s">
        <v>133</v>
      </c>
      <c r="H86">
        <v>2</v>
      </c>
      <c r="I86">
        <v>9.99</v>
      </c>
      <c r="J86">
        <v>0</v>
      </c>
      <c r="K86">
        <v>19.98</v>
      </c>
      <c r="L86">
        <v>4.1500000000000004</v>
      </c>
      <c r="M86" t="s">
        <v>52</v>
      </c>
    </row>
    <row r="87" spans="1:13" x14ac:dyDescent="0.3">
      <c r="A87">
        <v>10099</v>
      </c>
      <c r="B87" t="s">
        <v>68</v>
      </c>
      <c r="C87" t="s">
        <v>285</v>
      </c>
      <c r="D87" t="s">
        <v>286</v>
      </c>
      <c r="E87" t="s">
        <v>61</v>
      </c>
      <c r="F87" t="s">
        <v>75</v>
      </c>
      <c r="G87" t="s">
        <v>76</v>
      </c>
      <c r="H87">
        <v>8</v>
      </c>
      <c r="I87">
        <v>22</v>
      </c>
      <c r="J87">
        <v>0.2</v>
      </c>
      <c r="K87">
        <v>140.80000000000001</v>
      </c>
      <c r="L87">
        <v>38.08</v>
      </c>
      <c r="M87" t="s">
        <v>63</v>
      </c>
    </row>
    <row r="88" spans="1:13" x14ac:dyDescent="0.3">
      <c r="A88">
        <v>10294</v>
      </c>
      <c r="B88" t="s">
        <v>287</v>
      </c>
      <c r="C88" t="s">
        <v>174</v>
      </c>
      <c r="D88" t="s">
        <v>288</v>
      </c>
      <c r="E88" t="s">
        <v>43</v>
      </c>
      <c r="F88" t="s">
        <v>56</v>
      </c>
      <c r="G88" t="s">
        <v>133</v>
      </c>
      <c r="H88">
        <v>4</v>
      </c>
      <c r="I88">
        <v>9.99</v>
      </c>
      <c r="J88">
        <v>0.05</v>
      </c>
      <c r="K88">
        <v>37.96</v>
      </c>
      <c r="L88">
        <v>9.1300000000000008</v>
      </c>
      <c r="M88" t="s">
        <v>46</v>
      </c>
    </row>
    <row r="89" spans="1:13" x14ac:dyDescent="0.3">
      <c r="A89">
        <v>10253</v>
      </c>
      <c r="B89" t="s">
        <v>289</v>
      </c>
      <c r="C89" t="s">
        <v>290</v>
      </c>
      <c r="D89" t="s">
        <v>170</v>
      </c>
      <c r="E89" t="s">
        <v>125</v>
      </c>
      <c r="F89" t="s">
        <v>50</v>
      </c>
      <c r="G89" t="s">
        <v>51</v>
      </c>
      <c r="H89">
        <v>10</v>
      </c>
      <c r="I89">
        <v>120</v>
      </c>
      <c r="J89">
        <v>0.1</v>
      </c>
      <c r="K89">
        <v>1080</v>
      </c>
      <c r="L89">
        <v>212.78</v>
      </c>
      <c r="M89" t="s">
        <v>63</v>
      </c>
    </row>
    <row r="90" spans="1:13" x14ac:dyDescent="0.3">
      <c r="A90">
        <v>10079</v>
      </c>
      <c r="B90" t="s">
        <v>291</v>
      </c>
      <c r="C90" t="s">
        <v>65</v>
      </c>
      <c r="D90" t="s">
        <v>292</v>
      </c>
      <c r="E90" t="s">
        <v>91</v>
      </c>
      <c r="F90" t="s">
        <v>44</v>
      </c>
      <c r="G90" t="s">
        <v>156</v>
      </c>
      <c r="H90">
        <v>8</v>
      </c>
      <c r="I90">
        <v>27</v>
      </c>
      <c r="J90">
        <v>0.25</v>
      </c>
      <c r="K90">
        <v>162</v>
      </c>
      <c r="L90">
        <v>53.99</v>
      </c>
      <c r="M90" t="s">
        <v>52</v>
      </c>
    </row>
    <row r="91" spans="1:13" x14ac:dyDescent="0.3">
      <c r="A91">
        <v>10284</v>
      </c>
      <c r="B91" t="s">
        <v>293</v>
      </c>
      <c r="C91" t="s">
        <v>294</v>
      </c>
      <c r="D91" t="s">
        <v>271</v>
      </c>
      <c r="E91" t="s">
        <v>125</v>
      </c>
      <c r="F91" t="s">
        <v>44</v>
      </c>
      <c r="G91" t="s">
        <v>146</v>
      </c>
      <c r="H91">
        <v>4</v>
      </c>
      <c r="I91">
        <v>3.1</v>
      </c>
      <c r="J91">
        <v>0.25</v>
      </c>
      <c r="K91">
        <v>9.3000000000000007</v>
      </c>
      <c r="L91">
        <v>2.88</v>
      </c>
      <c r="M91" t="s">
        <v>46</v>
      </c>
    </row>
    <row r="92" spans="1:13" x14ac:dyDescent="0.3">
      <c r="A92">
        <v>10126</v>
      </c>
      <c r="B92" t="s">
        <v>122</v>
      </c>
      <c r="C92" t="s">
        <v>295</v>
      </c>
      <c r="D92" t="s">
        <v>296</v>
      </c>
      <c r="E92" t="s">
        <v>91</v>
      </c>
      <c r="F92" t="s">
        <v>44</v>
      </c>
      <c r="G92" t="s">
        <v>156</v>
      </c>
      <c r="H92">
        <v>1</v>
      </c>
      <c r="I92">
        <v>27</v>
      </c>
      <c r="J92">
        <v>0</v>
      </c>
      <c r="K92">
        <v>27</v>
      </c>
      <c r="L92">
        <v>10.86</v>
      </c>
      <c r="M92" t="s">
        <v>46</v>
      </c>
    </row>
    <row r="93" spans="1:13" x14ac:dyDescent="0.3">
      <c r="A93">
        <v>10330</v>
      </c>
      <c r="B93" t="s">
        <v>191</v>
      </c>
      <c r="C93" t="s">
        <v>297</v>
      </c>
      <c r="D93" t="s">
        <v>277</v>
      </c>
      <c r="E93" t="s">
        <v>61</v>
      </c>
      <c r="F93" t="s">
        <v>44</v>
      </c>
      <c r="G93" t="s">
        <v>156</v>
      </c>
      <c r="H93">
        <v>2</v>
      </c>
      <c r="I93">
        <v>27</v>
      </c>
      <c r="J93">
        <v>0</v>
      </c>
      <c r="K93">
        <v>54</v>
      </c>
      <c r="L93">
        <v>18.93</v>
      </c>
      <c r="M93" t="s">
        <v>46</v>
      </c>
    </row>
    <row r="94" spans="1:13" x14ac:dyDescent="0.3">
      <c r="A94">
        <v>10181</v>
      </c>
      <c r="B94" t="s">
        <v>298</v>
      </c>
      <c r="C94" t="s">
        <v>299</v>
      </c>
      <c r="D94" t="s">
        <v>175</v>
      </c>
      <c r="E94" t="s">
        <v>74</v>
      </c>
      <c r="F94" t="s">
        <v>50</v>
      </c>
      <c r="G94" t="s">
        <v>80</v>
      </c>
      <c r="H94">
        <v>1</v>
      </c>
      <c r="I94">
        <v>89</v>
      </c>
      <c r="J94">
        <v>0</v>
      </c>
      <c r="K94">
        <v>89</v>
      </c>
      <c r="L94">
        <v>16.02</v>
      </c>
      <c r="M94" t="s">
        <v>63</v>
      </c>
    </row>
    <row r="95" spans="1:13" x14ac:dyDescent="0.3">
      <c r="A95">
        <v>10136</v>
      </c>
      <c r="B95" t="s">
        <v>300</v>
      </c>
      <c r="C95" t="s">
        <v>301</v>
      </c>
      <c r="D95" t="s">
        <v>302</v>
      </c>
      <c r="E95" t="s">
        <v>43</v>
      </c>
      <c r="F95" t="s">
        <v>75</v>
      </c>
      <c r="G95" t="s">
        <v>303</v>
      </c>
      <c r="H95">
        <v>4</v>
      </c>
      <c r="I95">
        <v>29.99</v>
      </c>
      <c r="J95">
        <v>0.2</v>
      </c>
      <c r="K95">
        <v>95.97</v>
      </c>
      <c r="L95">
        <v>26.23</v>
      </c>
      <c r="M95" t="s">
        <v>52</v>
      </c>
    </row>
    <row r="96" spans="1:13" x14ac:dyDescent="0.3">
      <c r="A96">
        <v>10146</v>
      </c>
      <c r="B96" t="s">
        <v>304</v>
      </c>
      <c r="C96" t="s">
        <v>305</v>
      </c>
      <c r="D96" t="s">
        <v>306</v>
      </c>
      <c r="E96" t="s">
        <v>74</v>
      </c>
      <c r="F96" t="s">
        <v>44</v>
      </c>
      <c r="G96" t="s">
        <v>45</v>
      </c>
      <c r="H96">
        <v>4</v>
      </c>
      <c r="I96">
        <v>4.25</v>
      </c>
      <c r="J96">
        <v>0</v>
      </c>
      <c r="K96">
        <v>17</v>
      </c>
      <c r="L96">
        <v>5.32</v>
      </c>
      <c r="M96" t="s">
        <v>46</v>
      </c>
    </row>
    <row r="97" spans="1:13" x14ac:dyDescent="0.3">
      <c r="A97">
        <v>10118</v>
      </c>
      <c r="B97" t="s">
        <v>307</v>
      </c>
      <c r="C97" t="s">
        <v>232</v>
      </c>
      <c r="D97" t="s">
        <v>308</v>
      </c>
      <c r="E97" t="s">
        <v>125</v>
      </c>
      <c r="F97" t="s">
        <v>56</v>
      </c>
      <c r="G97" t="s">
        <v>133</v>
      </c>
      <c r="H97">
        <v>8</v>
      </c>
      <c r="I97">
        <v>9.99</v>
      </c>
      <c r="J97">
        <v>0.2</v>
      </c>
      <c r="K97">
        <v>63.94</v>
      </c>
      <c r="L97">
        <v>15.92</v>
      </c>
      <c r="M97" t="s">
        <v>46</v>
      </c>
    </row>
    <row r="98" spans="1:13" x14ac:dyDescent="0.3">
      <c r="A98">
        <v>10243</v>
      </c>
      <c r="B98" t="s">
        <v>309</v>
      </c>
      <c r="C98" t="s">
        <v>310</v>
      </c>
      <c r="D98" t="s">
        <v>311</v>
      </c>
      <c r="E98" t="s">
        <v>91</v>
      </c>
      <c r="F98" t="s">
        <v>50</v>
      </c>
      <c r="G98" t="s">
        <v>84</v>
      </c>
      <c r="H98">
        <v>4</v>
      </c>
      <c r="I98">
        <v>75.5</v>
      </c>
      <c r="J98">
        <v>0.15</v>
      </c>
      <c r="K98">
        <v>256.7</v>
      </c>
      <c r="L98">
        <v>43.48</v>
      </c>
      <c r="M98" t="s">
        <v>63</v>
      </c>
    </row>
    <row r="99" spans="1:13" x14ac:dyDescent="0.3">
      <c r="A99">
        <v>10021</v>
      </c>
      <c r="B99" t="s">
        <v>312</v>
      </c>
      <c r="C99" t="s">
        <v>313</v>
      </c>
      <c r="D99" t="s">
        <v>314</v>
      </c>
      <c r="E99" t="s">
        <v>74</v>
      </c>
      <c r="F99" t="s">
        <v>75</v>
      </c>
      <c r="G99" t="s">
        <v>303</v>
      </c>
      <c r="H99">
        <v>4</v>
      </c>
      <c r="I99">
        <v>29.99</v>
      </c>
      <c r="J99">
        <v>0.1</v>
      </c>
      <c r="K99">
        <v>107.96</v>
      </c>
      <c r="L99">
        <v>31.76</v>
      </c>
      <c r="M99" t="s">
        <v>63</v>
      </c>
    </row>
    <row r="100" spans="1:13" x14ac:dyDescent="0.3">
      <c r="A100">
        <v>10281</v>
      </c>
      <c r="B100" t="s">
        <v>315</v>
      </c>
      <c r="C100" t="s">
        <v>316</v>
      </c>
      <c r="D100" t="s">
        <v>317</v>
      </c>
      <c r="E100" t="s">
        <v>43</v>
      </c>
      <c r="F100" t="s">
        <v>50</v>
      </c>
      <c r="G100" t="s">
        <v>51</v>
      </c>
      <c r="H100">
        <v>9</v>
      </c>
      <c r="I100">
        <v>120</v>
      </c>
      <c r="J100">
        <v>0</v>
      </c>
      <c r="K100">
        <v>1080</v>
      </c>
      <c r="L100">
        <v>197.43</v>
      </c>
      <c r="M100" t="s">
        <v>52</v>
      </c>
    </row>
    <row r="101" spans="1:13" x14ac:dyDescent="0.3">
      <c r="A101">
        <v>10138</v>
      </c>
      <c r="B101" t="s">
        <v>318</v>
      </c>
      <c r="C101" t="s">
        <v>319</v>
      </c>
      <c r="D101" t="s">
        <v>320</v>
      </c>
      <c r="E101" t="s">
        <v>61</v>
      </c>
      <c r="F101" t="s">
        <v>56</v>
      </c>
      <c r="G101" t="s">
        <v>217</v>
      </c>
      <c r="H101">
        <v>8</v>
      </c>
      <c r="I101">
        <v>8</v>
      </c>
      <c r="J101">
        <v>0.2</v>
      </c>
      <c r="K101">
        <v>51.2</v>
      </c>
      <c r="L101">
        <v>10.5</v>
      </c>
      <c r="M101" t="s">
        <v>52</v>
      </c>
    </row>
    <row r="102" spans="1:13" x14ac:dyDescent="0.3">
      <c r="A102">
        <v>10090</v>
      </c>
      <c r="B102" t="s">
        <v>287</v>
      </c>
      <c r="C102" t="s">
        <v>321</v>
      </c>
      <c r="D102" t="s">
        <v>322</v>
      </c>
      <c r="E102" t="s">
        <v>61</v>
      </c>
      <c r="F102" t="s">
        <v>44</v>
      </c>
      <c r="G102" t="s">
        <v>146</v>
      </c>
      <c r="H102">
        <v>2</v>
      </c>
      <c r="I102">
        <v>3.1</v>
      </c>
      <c r="J102">
        <v>0</v>
      </c>
      <c r="K102">
        <v>6.2</v>
      </c>
      <c r="L102">
        <v>2.06</v>
      </c>
      <c r="M102" t="s">
        <v>46</v>
      </c>
    </row>
    <row r="103" spans="1:13" x14ac:dyDescent="0.3">
      <c r="A103">
        <v>10017</v>
      </c>
      <c r="B103" t="s">
        <v>323</v>
      </c>
      <c r="C103" t="s">
        <v>245</v>
      </c>
      <c r="D103" t="s">
        <v>248</v>
      </c>
      <c r="E103" t="s">
        <v>91</v>
      </c>
      <c r="F103" t="s">
        <v>75</v>
      </c>
      <c r="G103" t="s">
        <v>126</v>
      </c>
      <c r="H103">
        <v>8</v>
      </c>
      <c r="I103">
        <v>12.99</v>
      </c>
      <c r="J103">
        <v>0</v>
      </c>
      <c r="K103">
        <v>103.92</v>
      </c>
      <c r="L103">
        <v>33.270000000000003</v>
      </c>
      <c r="M103" t="s">
        <v>63</v>
      </c>
    </row>
    <row r="104" spans="1:13" x14ac:dyDescent="0.3">
      <c r="A104">
        <v>10155</v>
      </c>
      <c r="B104" t="s">
        <v>153</v>
      </c>
      <c r="C104" t="s">
        <v>164</v>
      </c>
      <c r="D104" t="s">
        <v>302</v>
      </c>
      <c r="F104" t="s">
        <v>50</v>
      </c>
      <c r="G104" t="s">
        <v>99</v>
      </c>
      <c r="H104">
        <v>2</v>
      </c>
      <c r="I104">
        <v>15</v>
      </c>
      <c r="J104">
        <v>0.1</v>
      </c>
      <c r="K104">
        <v>27</v>
      </c>
      <c r="L104">
        <v>4.95</v>
      </c>
      <c r="M104" t="s">
        <v>46</v>
      </c>
    </row>
    <row r="105" spans="1:13" x14ac:dyDescent="0.3">
      <c r="A105">
        <v>10022</v>
      </c>
      <c r="B105" t="s">
        <v>324</v>
      </c>
      <c r="C105" t="s">
        <v>325</v>
      </c>
      <c r="D105" t="s">
        <v>326</v>
      </c>
      <c r="E105" t="s">
        <v>91</v>
      </c>
      <c r="F105" t="s">
        <v>56</v>
      </c>
      <c r="G105" t="s">
        <v>149</v>
      </c>
      <c r="H105">
        <v>8</v>
      </c>
      <c r="I105">
        <v>42</v>
      </c>
      <c r="J105">
        <v>0.2</v>
      </c>
      <c r="K105">
        <v>268.8</v>
      </c>
      <c r="L105">
        <v>53.64</v>
      </c>
      <c r="M105" t="s">
        <v>52</v>
      </c>
    </row>
    <row r="106" spans="1:13" x14ac:dyDescent="0.3">
      <c r="A106">
        <v>10106</v>
      </c>
      <c r="B106" t="s">
        <v>275</v>
      </c>
      <c r="C106" t="s">
        <v>327</v>
      </c>
      <c r="D106" t="s">
        <v>328</v>
      </c>
      <c r="E106" t="s">
        <v>125</v>
      </c>
      <c r="F106" t="s">
        <v>56</v>
      </c>
      <c r="G106" t="s">
        <v>57</v>
      </c>
      <c r="H106">
        <v>8</v>
      </c>
      <c r="I106">
        <v>55</v>
      </c>
      <c r="J106">
        <v>0.1</v>
      </c>
      <c r="K106">
        <v>396</v>
      </c>
      <c r="L106">
        <v>91.48</v>
      </c>
      <c r="M106" t="s">
        <v>46</v>
      </c>
    </row>
    <row r="107" spans="1:13" x14ac:dyDescent="0.3">
      <c r="A107">
        <v>10084</v>
      </c>
      <c r="B107" t="s">
        <v>329</v>
      </c>
      <c r="C107" t="s">
        <v>330</v>
      </c>
      <c r="D107" t="s">
        <v>331</v>
      </c>
      <c r="E107" t="s">
        <v>91</v>
      </c>
      <c r="F107" t="s">
        <v>56</v>
      </c>
      <c r="G107" t="s">
        <v>57</v>
      </c>
      <c r="H107">
        <v>1</v>
      </c>
      <c r="I107">
        <v>55</v>
      </c>
      <c r="J107">
        <v>0.05</v>
      </c>
      <c r="K107">
        <v>52.25</v>
      </c>
      <c r="L107">
        <v>10.76</v>
      </c>
      <c r="M107" t="s">
        <v>63</v>
      </c>
    </row>
    <row r="108" spans="1:13" x14ac:dyDescent="0.3">
      <c r="A108">
        <v>10227</v>
      </c>
      <c r="B108" t="s">
        <v>332</v>
      </c>
      <c r="C108" t="s">
        <v>89</v>
      </c>
      <c r="D108" t="s">
        <v>66</v>
      </c>
      <c r="E108" t="s">
        <v>125</v>
      </c>
      <c r="F108" t="s">
        <v>50</v>
      </c>
      <c r="G108" t="s">
        <v>51</v>
      </c>
      <c r="H108">
        <v>6</v>
      </c>
      <c r="I108">
        <v>120</v>
      </c>
      <c r="J108">
        <v>0.25</v>
      </c>
      <c r="K108">
        <v>540</v>
      </c>
      <c r="L108">
        <v>86.01</v>
      </c>
      <c r="M108" t="s">
        <v>52</v>
      </c>
    </row>
    <row r="109" spans="1:13" x14ac:dyDescent="0.3">
      <c r="A109">
        <v>10283</v>
      </c>
      <c r="B109" t="s">
        <v>333</v>
      </c>
      <c r="C109" t="s">
        <v>334</v>
      </c>
      <c r="D109" t="s">
        <v>335</v>
      </c>
      <c r="E109" t="s">
        <v>61</v>
      </c>
      <c r="F109" t="s">
        <v>56</v>
      </c>
      <c r="G109" t="s">
        <v>133</v>
      </c>
      <c r="H109">
        <v>4</v>
      </c>
      <c r="I109">
        <v>9.99</v>
      </c>
      <c r="J109">
        <v>0.05</v>
      </c>
      <c r="K109">
        <v>37.96</v>
      </c>
      <c r="L109">
        <v>7.8</v>
      </c>
      <c r="M109" t="s">
        <v>63</v>
      </c>
    </row>
    <row r="110" spans="1:13" x14ac:dyDescent="0.3">
      <c r="A110">
        <v>10324</v>
      </c>
      <c r="B110" t="s">
        <v>336</v>
      </c>
      <c r="C110" t="s">
        <v>337</v>
      </c>
      <c r="D110" t="s">
        <v>338</v>
      </c>
      <c r="E110" t="s">
        <v>61</v>
      </c>
      <c r="F110" t="s">
        <v>44</v>
      </c>
      <c r="G110" t="s">
        <v>146</v>
      </c>
      <c r="H110">
        <v>2</v>
      </c>
      <c r="I110">
        <v>3.1</v>
      </c>
      <c r="J110">
        <v>0.15</v>
      </c>
      <c r="K110">
        <v>5.27</v>
      </c>
      <c r="L110">
        <v>1.63</v>
      </c>
      <c r="M110" t="s">
        <v>63</v>
      </c>
    </row>
    <row r="111" spans="1:13" x14ac:dyDescent="0.3">
      <c r="A111">
        <v>10089</v>
      </c>
      <c r="B111" t="s">
        <v>339</v>
      </c>
      <c r="C111" t="s">
        <v>340</v>
      </c>
      <c r="D111" t="s">
        <v>341</v>
      </c>
      <c r="E111" t="s">
        <v>61</v>
      </c>
      <c r="F111" t="s">
        <v>56</v>
      </c>
      <c r="G111" t="s">
        <v>57</v>
      </c>
      <c r="H111">
        <v>3</v>
      </c>
      <c r="I111">
        <v>55</v>
      </c>
      <c r="J111">
        <v>0.2</v>
      </c>
      <c r="K111">
        <v>132</v>
      </c>
      <c r="L111">
        <v>30.21</v>
      </c>
      <c r="M111" t="s">
        <v>52</v>
      </c>
    </row>
    <row r="112" spans="1:13" x14ac:dyDescent="0.3">
      <c r="A112">
        <v>10356</v>
      </c>
      <c r="B112" t="s">
        <v>342</v>
      </c>
      <c r="C112" t="s">
        <v>158</v>
      </c>
      <c r="D112" t="s">
        <v>343</v>
      </c>
      <c r="E112" t="s">
        <v>74</v>
      </c>
      <c r="F112" t="s">
        <v>56</v>
      </c>
      <c r="G112" t="s">
        <v>133</v>
      </c>
      <c r="H112">
        <v>8</v>
      </c>
      <c r="I112">
        <v>9.99</v>
      </c>
      <c r="J112">
        <v>0.05</v>
      </c>
      <c r="K112">
        <v>75.92</v>
      </c>
      <c r="L112">
        <v>15.01</v>
      </c>
      <c r="M112" t="s">
        <v>52</v>
      </c>
    </row>
    <row r="113" spans="1:13" x14ac:dyDescent="0.3">
      <c r="A113">
        <v>10211</v>
      </c>
      <c r="B113" t="s">
        <v>344</v>
      </c>
      <c r="C113" t="s">
        <v>101</v>
      </c>
      <c r="D113" t="s">
        <v>345</v>
      </c>
      <c r="E113" t="s">
        <v>125</v>
      </c>
      <c r="F113" t="s">
        <v>44</v>
      </c>
      <c r="G113" t="s">
        <v>146</v>
      </c>
      <c r="H113">
        <v>4</v>
      </c>
      <c r="I113">
        <v>3.1</v>
      </c>
      <c r="J113">
        <v>0.25</v>
      </c>
      <c r="K113">
        <v>9.3000000000000007</v>
      </c>
      <c r="L113">
        <v>3.08</v>
      </c>
      <c r="M113" t="s">
        <v>46</v>
      </c>
    </row>
    <row r="114" spans="1:13" x14ac:dyDescent="0.3">
      <c r="A114">
        <v>10125</v>
      </c>
      <c r="B114" t="s">
        <v>346</v>
      </c>
      <c r="C114" t="s">
        <v>347</v>
      </c>
      <c r="D114" t="s">
        <v>239</v>
      </c>
      <c r="E114" t="s">
        <v>61</v>
      </c>
      <c r="F114" t="s">
        <v>56</v>
      </c>
      <c r="G114" t="s">
        <v>57</v>
      </c>
      <c r="H114">
        <v>9</v>
      </c>
      <c r="I114">
        <v>55</v>
      </c>
      <c r="J114">
        <v>0</v>
      </c>
      <c r="K114">
        <v>495</v>
      </c>
      <c r="L114">
        <v>107.33</v>
      </c>
      <c r="M114" t="s">
        <v>63</v>
      </c>
    </row>
    <row r="115" spans="1:13" x14ac:dyDescent="0.3">
      <c r="A115">
        <v>10288</v>
      </c>
      <c r="B115" t="s">
        <v>348</v>
      </c>
      <c r="C115" t="s">
        <v>319</v>
      </c>
      <c r="D115" t="s">
        <v>349</v>
      </c>
      <c r="E115" t="s">
        <v>91</v>
      </c>
      <c r="F115" t="s">
        <v>50</v>
      </c>
      <c r="G115" t="s">
        <v>99</v>
      </c>
      <c r="H115">
        <v>3</v>
      </c>
      <c r="I115">
        <v>15</v>
      </c>
      <c r="J115">
        <v>0.25</v>
      </c>
      <c r="K115">
        <v>33.75</v>
      </c>
      <c r="L115">
        <v>5.69</v>
      </c>
      <c r="M115" t="s">
        <v>52</v>
      </c>
    </row>
    <row r="116" spans="1:13" x14ac:dyDescent="0.3">
      <c r="A116">
        <v>10314</v>
      </c>
      <c r="B116" t="s">
        <v>350</v>
      </c>
      <c r="C116" t="s">
        <v>351</v>
      </c>
      <c r="D116" t="s">
        <v>352</v>
      </c>
      <c r="E116" t="s">
        <v>125</v>
      </c>
      <c r="F116" t="s">
        <v>56</v>
      </c>
      <c r="G116" t="s">
        <v>133</v>
      </c>
      <c r="H116">
        <v>1</v>
      </c>
      <c r="I116">
        <v>9.99</v>
      </c>
      <c r="J116">
        <v>0</v>
      </c>
      <c r="K116">
        <v>9.99</v>
      </c>
      <c r="L116">
        <v>1.88</v>
      </c>
      <c r="M116" t="s">
        <v>63</v>
      </c>
    </row>
    <row r="117" spans="1:13" x14ac:dyDescent="0.3">
      <c r="A117">
        <v>10350</v>
      </c>
      <c r="B117" t="s">
        <v>353</v>
      </c>
      <c r="C117" t="s">
        <v>250</v>
      </c>
      <c r="D117" t="s">
        <v>302</v>
      </c>
      <c r="E117" t="s">
        <v>74</v>
      </c>
      <c r="F117" t="s">
        <v>75</v>
      </c>
      <c r="G117" t="s">
        <v>76</v>
      </c>
      <c r="H117">
        <v>7</v>
      </c>
      <c r="I117">
        <v>22</v>
      </c>
      <c r="J117">
        <v>0</v>
      </c>
      <c r="K117">
        <v>154</v>
      </c>
      <c r="L117">
        <v>41.01</v>
      </c>
      <c r="M117" t="s">
        <v>63</v>
      </c>
    </row>
    <row r="118" spans="1:13" x14ac:dyDescent="0.3">
      <c r="A118">
        <v>10015</v>
      </c>
      <c r="B118" t="s">
        <v>354</v>
      </c>
      <c r="C118" t="s">
        <v>355</v>
      </c>
      <c r="D118" t="s">
        <v>356</v>
      </c>
      <c r="E118" t="s">
        <v>43</v>
      </c>
      <c r="F118" t="s">
        <v>44</v>
      </c>
      <c r="G118" t="s">
        <v>106</v>
      </c>
      <c r="H118">
        <v>10</v>
      </c>
      <c r="I118">
        <v>6.75</v>
      </c>
      <c r="J118">
        <v>0.05</v>
      </c>
      <c r="K118">
        <v>64.12</v>
      </c>
      <c r="L118">
        <v>20.100000000000001</v>
      </c>
      <c r="M118" t="s">
        <v>46</v>
      </c>
    </row>
    <row r="119" spans="1:13" x14ac:dyDescent="0.3">
      <c r="A119">
        <v>10221</v>
      </c>
      <c r="B119" t="s">
        <v>243</v>
      </c>
      <c r="C119" t="s">
        <v>169</v>
      </c>
      <c r="D119" t="s">
        <v>357</v>
      </c>
      <c r="E119" t="s">
        <v>61</v>
      </c>
      <c r="F119" t="s">
        <v>56</v>
      </c>
      <c r="G119" t="s">
        <v>217</v>
      </c>
      <c r="H119">
        <v>6</v>
      </c>
      <c r="I119">
        <v>8</v>
      </c>
      <c r="J119">
        <v>0</v>
      </c>
      <c r="K119">
        <v>48</v>
      </c>
      <c r="L119">
        <v>10.25</v>
      </c>
      <c r="M119" t="s">
        <v>63</v>
      </c>
    </row>
    <row r="120" spans="1:13" x14ac:dyDescent="0.3">
      <c r="A120">
        <v>10237</v>
      </c>
      <c r="B120" t="s">
        <v>119</v>
      </c>
      <c r="C120" t="s">
        <v>358</v>
      </c>
      <c r="D120" t="s">
        <v>216</v>
      </c>
      <c r="E120" t="s">
        <v>125</v>
      </c>
      <c r="F120" t="s">
        <v>44</v>
      </c>
      <c r="G120" t="s">
        <v>106</v>
      </c>
      <c r="H120">
        <v>10</v>
      </c>
      <c r="I120">
        <v>6.75</v>
      </c>
      <c r="J120">
        <v>0.15</v>
      </c>
      <c r="K120">
        <v>57.38</v>
      </c>
      <c r="L120">
        <v>18.5</v>
      </c>
      <c r="M120" t="s">
        <v>63</v>
      </c>
    </row>
    <row r="121" spans="1:13" x14ac:dyDescent="0.3">
      <c r="A121">
        <v>10254</v>
      </c>
      <c r="B121" t="s">
        <v>359</v>
      </c>
      <c r="C121" t="s">
        <v>360</v>
      </c>
      <c r="D121" t="s">
        <v>343</v>
      </c>
      <c r="E121" t="s">
        <v>61</v>
      </c>
      <c r="F121" t="s">
        <v>56</v>
      </c>
      <c r="G121" t="s">
        <v>217</v>
      </c>
      <c r="H121">
        <v>4</v>
      </c>
      <c r="I121">
        <v>8</v>
      </c>
      <c r="J121">
        <v>0.05</v>
      </c>
      <c r="K121">
        <v>30.4</v>
      </c>
      <c r="L121">
        <v>6.29</v>
      </c>
      <c r="M121" t="s">
        <v>63</v>
      </c>
    </row>
    <row r="122" spans="1:13" x14ac:dyDescent="0.3">
      <c r="A122">
        <v>10048</v>
      </c>
      <c r="B122" t="s">
        <v>361</v>
      </c>
      <c r="C122" t="s">
        <v>97</v>
      </c>
      <c r="D122" t="s">
        <v>362</v>
      </c>
      <c r="E122" t="s">
        <v>74</v>
      </c>
      <c r="F122" t="s">
        <v>56</v>
      </c>
      <c r="G122" t="s">
        <v>217</v>
      </c>
      <c r="H122">
        <v>1</v>
      </c>
      <c r="I122">
        <v>8</v>
      </c>
      <c r="J122">
        <v>0.1</v>
      </c>
      <c r="K122">
        <v>7.2</v>
      </c>
      <c r="L122">
        <v>1.48</v>
      </c>
      <c r="M122" t="s">
        <v>46</v>
      </c>
    </row>
    <row r="123" spans="1:13" x14ac:dyDescent="0.3">
      <c r="A123">
        <v>10353</v>
      </c>
      <c r="B123" t="s">
        <v>363</v>
      </c>
      <c r="C123" t="s">
        <v>364</v>
      </c>
      <c r="D123" t="s">
        <v>266</v>
      </c>
      <c r="E123" t="s">
        <v>74</v>
      </c>
      <c r="F123" t="s">
        <v>50</v>
      </c>
      <c r="G123" t="s">
        <v>99</v>
      </c>
      <c r="H123">
        <v>2</v>
      </c>
      <c r="I123">
        <v>15</v>
      </c>
      <c r="J123">
        <v>0.25</v>
      </c>
      <c r="K123">
        <v>22.5</v>
      </c>
      <c r="L123">
        <v>3.61</v>
      </c>
      <c r="M123" t="s">
        <v>52</v>
      </c>
    </row>
    <row r="124" spans="1:13" x14ac:dyDescent="0.3">
      <c r="A124">
        <v>10261</v>
      </c>
      <c r="B124" t="s">
        <v>365</v>
      </c>
      <c r="C124" t="s">
        <v>123</v>
      </c>
      <c r="D124" t="s">
        <v>142</v>
      </c>
      <c r="E124" t="s">
        <v>91</v>
      </c>
      <c r="F124" t="s">
        <v>56</v>
      </c>
      <c r="G124" t="s">
        <v>366</v>
      </c>
      <c r="H124">
        <v>3</v>
      </c>
      <c r="I124">
        <v>38.5</v>
      </c>
      <c r="J124">
        <v>0.2</v>
      </c>
      <c r="K124">
        <v>92.4</v>
      </c>
      <c r="L124">
        <v>17.8</v>
      </c>
      <c r="M124" t="s">
        <v>63</v>
      </c>
    </row>
    <row r="125" spans="1:13" x14ac:dyDescent="0.3">
      <c r="A125">
        <v>10113</v>
      </c>
      <c r="B125" t="s">
        <v>143</v>
      </c>
      <c r="C125" t="s">
        <v>367</v>
      </c>
      <c r="D125" t="s">
        <v>55</v>
      </c>
      <c r="E125" t="s">
        <v>125</v>
      </c>
      <c r="F125" t="s">
        <v>44</v>
      </c>
      <c r="G125" t="s">
        <v>156</v>
      </c>
      <c r="H125">
        <v>5</v>
      </c>
      <c r="I125">
        <v>27</v>
      </c>
      <c r="J125">
        <v>0.15</v>
      </c>
      <c r="K125">
        <v>114.75</v>
      </c>
      <c r="L125">
        <v>43.83</v>
      </c>
      <c r="M125" t="s">
        <v>63</v>
      </c>
    </row>
    <row r="126" spans="1:13" x14ac:dyDescent="0.3">
      <c r="A126">
        <v>10035</v>
      </c>
      <c r="B126" t="s">
        <v>168</v>
      </c>
      <c r="C126" t="s">
        <v>135</v>
      </c>
      <c r="D126" t="s">
        <v>368</v>
      </c>
      <c r="E126" t="s">
        <v>91</v>
      </c>
      <c r="F126" t="s">
        <v>50</v>
      </c>
      <c r="G126" t="s">
        <v>62</v>
      </c>
      <c r="H126">
        <v>5</v>
      </c>
      <c r="I126">
        <v>65</v>
      </c>
      <c r="J126">
        <v>0.05</v>
      </c>
      <c r="K126">
        <v>308.75</v>
      </c>
      <c r="L126">
        <v>59.2</v>
      </c>
      <c r="M126" t="s">
        <v>46</v>
      </c>
    </row>
    <row r="127" spans="1:13" x14ac:dyDescent="0.3">
      <c r="A127">
        <v>10080</v>
      </c>
      <c r="B127" t="s">
        <v>369</v>
      </c>
      <c r="C127" t="s">
        <v>223</v>
      </c>
      <c r="D127" t="s">
        <v>370</v>
      </c>
      <c r="E127" t="s">
        <v>43</v>
      </c>
      <c r="F127" t="s">
        <v>56</v>
      </c>
      <c r="G127" t="s">
        <v>366</v>
      </c>
      <c r="H127">
        <v>2</v>
      </c>
      <c r="I127">
        <v>38.5</v>
      </c>
      <c r="J127">
        <v>0</v>
      </c>
      <c r="K127">
        <v>77</v>
      </c>
      <c r="L127">
        <v>15.17</v>
      </c>
      <c r="M127" t="s">
        <v>63</v>
      </c>
    </row>
    <row r="128" spans="1:13" x14ac:dyDescent="0.3">
      <c r="A128">
        <v>10123</v>
      </c>
      <c r="B128" t="s">
        <v>371</v>
      </c>
      <c r="C128" t="s">
        <v>372</v>
      </c>
      <c r="D128" t="s">
        <v>70</v>
      </c>
      <c r="E128" t="s">
        <v>125</v>
      </c>
      <c r="F128" t="s">
        <v>44</v>
      </c>
      <c r="G128" t="s">
        <v>45</v>
      </c>
      <c r="H128">
        <v>2</v>
      </c>
      <c r="I128">
        <v>4.25</v>
      </c>
      <c r="J128">
        <v>0</v>
      </c>
      <c r="K128">
        <v>8.5</v>
      </c>
      <c r="L128">
        <v>2.65</v>
      </c>
      <c r="M128" t="s">
        <v>46</v>
      </c>
    </row>
    <row r="129" spans="1:13" x14ac:dyDescent="0.3">
      <c r="A129">
        <v>10057</v>
      </c>
      <c r="B129" t="s">
        <v>100</v>
      </c>
      <c r="C129" t="s">
        <v>373</v>
      </c>
      <c r="D129" t="s">
        <v>374</v>
      </c>
      <c r="E129" t="s">
        <v>125</v>
      </c>
      <c r="F129" t="s">
        <v>75</v>
      </c>
      <c r="G129" t="s">
        <v>95</v>
      </c>
      <c r="H129">
        <v>7</v>
      </c>
      <c r="I129">
        <v>18.75</v>
      </c>
      <c r="J129">
        <v>0.15</v>
      </c>
      <c r="K129">
        <v>111.56</v>
      </c>
      <c r="L129">
        <v>31.64</v>
      </c>
      <c r="M129" t="s">
        <v>63</v>
      </c>
    </row>
    <row r="130" spans="1:13" x14ac:dyDescent="0.3">
      <c r="A130">
        <v>10365</v>
      </c>
      <c r="B130" t="s">
        <v>375</v>
      </c>
      <c r="C130" t="s">
        <v>376</v>
      </c>
      <c r="D130" t="s">
        <v>165</v>
      </c>
      <c r="E130" t="s">
        <v>43</v>
      </c>
      <c r="F130" t="s">
        <v>75</v>
      </c>
      <c r="G130" t="s">
        <v>76</v>
      </c>
      <c r="H130">
        <v>9</v>
      </c>
      <c r="I130">
        <v>22</v>
      </c>
      <c r="J130">
        <v>0.2</v>
      </c>
      <c r="K130">
        <v>158.4</v>
      </c>
      <c r="L130">
        <v>50.62</v>
      </c>
      <c r="M130" t="s">
        <v>46</v>
      </c>
    </row>
    <row r="131" spans="1:13" x14ac:dyDescent="0.3">
      <c r="A131">
        <v>10306</v>
      </c>
      <c r="B131" t="s">
        <v>377</v>
      </c>
      <c r="C131" t="s">
        <v>378</v>
      </c>
      <c r="D131" t="s">
        <v>379</v>
      </c>
      <c r="E131" t="s">
        <v>61</v>
      </c>
      <c r="F131" t="s">
        <v>75</v>
      </c>
      <c r="G131" t="s">
        <v>126</v>
      </c>
      <c r="H131">
        <v>6</v>
      </c>
      <c r="I131">
        <v>12.99</v>
      </c>
      <c r="J131">
        <v>0</v>
      </c>
      <c r="K131">
        <v>77.94</v>
      </c>
      <c r="L131">
        <v>25.02</v>
      </c>
      <c r="M131" t="s">
        <v>52</v>
      </c>
    </row>
    <row r="132" spans="1:13" x14ac:dyDescent="0.3">
      <c r="A132">
        <v>10380</v>
      </c>
      <c r="B132" t="s">
        <v>380</v>
      </c>
      <c r="C132" t="s">
        <v>223</v>
      </c>
      <c r="D132" t="s">
        <v>279</v>
      </c>
      <c r="E132" t="s">
        <v>61</v>
      </c>
      <c r="F132" t="s">
        <v>75</v>
      </c>
      <c r="G132" t="s">
        <v>202</v>
      </c>
      <c r="H132">
        <v>10</v>
      </c>
      <c r="I132">
        <v>34.5</v>
      </c>
      <c r="J132">
        <v>0.05</v>
      </c>
      <c r="K132">
        <v>327.75</v>
      </c>
      <c r="L132">
        <v>101.6</v>
      </c>
      <c r="M132" t="s">
        <v>52</v>
      </c>
    </row>
    <row r="133" spans="1:13" x14ac:dyDescent="0.3">
      <c r="A133">
        <v>10249</v>
      </c>
      <c r="B133" t="s">
        <v>350</v>
      </c>
      <c r="C133" t="s">
        <v>285</v>
      </c>
      <c r="D133" t="s">
        <v>343</v>
      </c>
      <c r="E133" t="s">
        <v>61</v>
      </c>
      <c r="F133" t="s">
        <v>50</v>
      </c>
      <c r="G133" t="s">
        <v>99</v>
      </c>
      <c r="H133">
        <v>1</v>
      </c>
      <c r="I133">
        <v>15</v>
      </c>
      <c r="J133">
        <v>0</v>
      </c>
      <c r="K133">
        <v>15</v>
      </c>
      <c r="L133">
        <v>2.97</v>
      </c>
      <c r="M133" t="s">
        <v>63</v>
      </c>
    </row>
    <row r="134" spans="1:13" x14ac:dyDescent="0.3">
      <c r="A134">
        <v>10256</v>
      </c>
      <c r="B134" t="s">
        <v>381</v>
      </c>
      <c r="C134" t="s">
        <v>327</v>
      </c>
      <c r="D134" t="s">
        <v>382</v>
      </c>
      <c r="E134" t="s">
        <v>74</v>
      </c>
      <c r="F134" t="s">
        <v>75</v>
      </c>
      <c r="G134" t="s">
        <v>303</v>
      </c>
      <c r="H134">
        <v>1</v>
      </c>
      <c r="I134">
        <v>29.99</v>
      </c>
      <c r="J134">
        <v>0.05</v>
      </c>
      <c r="K134">
        <v>28.49</v>
      </c>
      <c r="L134">
        <v>7.29</v>
      </c>
      <c r="M134" t="s">
        <v>52</v>
      </c>
    </row>
    <row r="135" spans="1:13" x14ac:dyDescent="0.3">
      <c r="A135">
        <v>10228</v>
      </c>
      <c r="B135" t="s">
        <v>96</v>
      </c>
      <c r="C135" t="s">
        <v>383</v>
      </c>
      <c r="D135" t="s">
        <v>384</v>
      </c>
      <c r="E135" t="s">
        <v>91</v>
      </c>
      <c r="F135" t="s">
        <v>56</v>
      </c>
      <c r="G135" t="s">
        <v>133</v>
      </c>
      <c r="H135">
        <v>8</v>
      </c>
      <c r="I135">
        <v>9.99</v>
      </c>
      <c r="J135">
        <v>0</v>
      </c>
      <c r="K135">
        <v>79.92</v>
      </c>
      <c r="L135">
        <v>17.649999999999999</v>
      </c>
      <c r="M135" t="s">
        <v>63</v>
      </c>
    </row>
    <row r="136" spans="1:13" x14ac:dyDescent="0.3">
      <c r="A136">
        <v>10012</v>
      </c>
      <c r="B136" t="s">
        <v>96</v>
      </c>
      <c r="C136" t="s">
        <v>385</v>
      </c>
      <c r="D136" t="s">
        <v>296</v>
      </c>
      <c r="E136" t="s">
        <v>43</v>
      </c>
      <c r="F136" t="s">
        <v>75</v>
      </c>
      <c r="G136" t="s">
        <v>202</v>
      </c>
      <c r="H136">
        <v>3</v>
      </c>
      <c r="I136">
        <v>34.5</v>
      </c>
      <c r="J136">
        <v>0.2</v>
      </c>
      <c r="K136">
        <v>82.8</v>
      </c>
      <c r="L136">
        <v>23.85</v>
      </c>
      <c r="M136" t="s">
        <v>46</v>
      </c>
    </row>
    <row r="137" spans="1:13" x14ac:dyDescent="0.3">
      <c r="A137">
        <v>10025</v>
      </c>
      <c r="B137" t="s">
        <v>386</v>
      </c>
      <c r="C137" t="s">
        <v>387</v>
      </c>
      <c r="D137" t="s">
        <v>87</v>
      </c>
      <c r="E137" t="s">
        <v>43</v>
      </c>
      <c r="F137" t="s">
        <v>75</v>
      </c>
      <c r="G137" t="s">
        <v>303</v>
      </c>
      <c r="H137">
        <v>1</v>
      </c>
      <c r="I137">
        <v>29.99</v>
      </c>
      <c r="J137">
        <v>0</v>
      </c>
      <c r="K137">
        <v>29.99</v>
      </c>
      <c r="L137">
        <v>9.4700000000000006</v>
      </c>
      <c r="M137" t="s">
        <v>52</v>
      </c>
    </row>
    <row r="138" spans="1:13" x14ac:dyDescent="0.3">
      <c r="A138">
        <v>10240</v>
      </c>
      <c r="B138" t="s">
        <v>388</v>
      </c>
      <c r="C138" t="s">
        <v>321</v>
      </c>
      <c r="D138" t="s">
        <v>389</v>
      </c>
      <c r="E138" t="s">
        <v>61</v>
      </c>
      <c r="F138" t="s">
        <v>50</v>
      </c>
      <c r="G138" t="s">
        <v>51</v>
      </c>
      <c r="H138">
        <v>5</v>
      </c>
      <c r="I138">
        <v>120</v>
      </c>
      <c r="J138">
        <v>0</v>
      </c>
      <c r="K138">
        <v>600</v>
      </c>
      <c r="L138">
        <v>117.91</v>
      </c>
      <c r="M138" t="s">
        <v>52</v>
      </c>
    </row>
    <row r="139" spans="1:13" x14ac:dyDescent="0.3">
      <c r="A139">
        <v>10110</v>
      </c>
      <c r="B139" t="s">
        <v>390</v>
      </c>
      <c r="C139" t="s">
        <v>391</v>
      </c>
      <c r="D139" t="s">
        <v>142</v>
      </c>
      <c r="E139" t="s">
        <v>74</v>
      </c>
      <c r="F139" t="s">
        <v>50</v>
      </c>
      <c r="G139" t="s">
        <v>99</v>
      </c>
      <c r="H139">
        <v>6</v>
      </c>
      <c r="I139">
        <v>15</v>
      </c>
      <c r="J139">
        <v>0.05</v>
      </c>
      <c r="K139">
        <v>85.5</v>
      </c>
      <c r="L139">
        <v>16.02</v>
      </c>
      <c r="M139" t="s">
        <v>46</v>
      </c>
    </row>
    <row r="140" spans="1:13" x14ac:dyDescent="0.3">
      <c r="A140">
        <v>10081</v>
      </c>
      <c r="B140" t="s">
        <v>336</v>
      </c>
      <c r="C140" t="s">
        <v>213</v>
      </c>
      <c r="D140" t="s">
        <v>214</v>
      </c>
      <c r="E140" t="s">
        <v>43</v>
      </c>
      <c r="F140" t="s">
        <v>56</v>
      </c>
      <c r="G140" t="s">
        <v>217</v>
      </c>
      <c r="H140">
        <v>10</v>
      </c>
      <c r="I140">
        <v>8</v>
      </c>
      <c r="J140">
        <v>0.05</v>
      </c>
      <c r="K140">
        <v>76</v>
      </c>
      <c r="L140">
        <v>18.100000000000001</v>
      </c>
      <c r="M140" t="s">
        <v>52</v>
      </c>
    </row>
    <row r="141" spans="1:13" x14ac:dyDescent="0.3">
      <c r="A141">
        <v>10309</v>
      </c>
      <c r="B141" t="s">
        <v>392</v>
      </c>
      <c r="C141" t="s">
        <v>265</v>
      </c>
      <c r="D141" t="s">
        <v>357</v>
      </c>
      <c r="E141" t="s">
        <v>125</v>
      </c>
      <c r="F141" t="s">
        <v>56</v>
      </c>
      <c r="G141" t="s">
        <v>217</v>
      </c>
      <c r="H141">
        <v>8</v>
      </c>
      <c r="I141">
        <v>8</v>
      </c>
      <c r="J141">
        <v>0.05</v>
      </c>
      <c r="K141">
        <v>60.8</v>
      </c>
      <c r="L141">
        <v>11.72</v>
      </c>
      <c r="M141" t="s">
        <v>63</v>
      </c>
    </row>
    <row r="142" spans="1:13" x14ac:dyDescent="0.3">
      <c r="A142">
        <v>10075</v>
      </c>
      <c r="B142" t="s">
        <v>234</v>
      </c>
      <c r="C142" t="s">
        <v>393</v>
      </c>
      <c r="D142" t="s">
        <v>394</v>
      </c>
      <c r="E142" t="s">
        <v>74</v>
      </c>
      <c r="F142" t="s">
        <v>56</v>
      </c>
      <c r="G142" t="s">
        <v>217</v>
      </c>
      <c r="H142">
        <v>6</v>
      </c>
      <c r="I142">
        <v>8</v>
      </c>
      <c r="J142">
        <v>0.15</v>
      </c>
      <c r="K142">
        <v>40.799999999999997</v>
      </c>
      <c r="L142">
        <v>9.52</v>
      </c>
      <c r="M142" t="s">
        <v>52</v>
      </c>
    </row>
    <row r="143" spans="1:13" x14ac:dyDescent="0.3">
      <c r="A143">
        <v>10301</v>
      </c>
      <c r="B143" t="s">
        <v>395</v>
      </c>
      <c r="C143" t="s">
        <v>396</v>
      </c>
      <c r="D143" t="s">
        <v>397</v>
      </c>
      <c r="E143" t="s">
        <v>74</v>
      </c>
      <c r="F143" t="s">
        <v>44</v>
      </c>
      <c r="G143" t="s">
        <v>106</v>
      </c>
      <c r="H143">
        <v>10</v>
      </c>
      <c r="I143">
        <v>6.75</v>
      </c>
      <c r="J143">
        <v>0</v>
      </c>
      <c r="K143">
        <v>67.5</v>
      </c>
      <c r="L143">
        <v>24.09</v>
      </c>
      <c r="M143" t="s">
        <v>46</v>
      </c>
    </row>
    <row r="144" spans="1:13" x14ac:dyDescent="0.3">
      <c r="A144">
        <v>10045</v>
      </c>
      <c r="B144" t="s">
        <v>398</v>
      </c>
      <c r="C144" t="s">
        <v>238</v>
      </c>
      <c r="D144" t="s">
        <v>374</v>
      </c>
      <c r="E144" t="s">
        <v>43</v>
      </c>
      <c r="F144" t="s">
        <v>56</v>
      </c>
      <c r="G144" t="s">
        <v>217</v>
      </c>
      <c r="H144">
        <v>4</v>
      </c>
      <c r="I144">
        <v>8</v>
      </c>
      <c r="J144">
        <v>0.1</v>
      </c>
      <c r="K144">
        <v>28.8</v>
      </c>
      <c r="L144">
        <v>5.47</v>
      </c>
      <c r="M144" t="s">
        <v>46</v>
      </c>
    </row>
    <row r="145" spans="1:13" x14ac:dyDescent="0.3">
      <c r="A145">
        <v>10150</v>
      </c>
      <c r="B145" t="s">
        <v>399</v>
      </c>
      <c r="C145" t="s">
        <v>400</v>
      </c>
      <c r="D145" t="s">
        <v>165</v>
      </c>
      <c r="E145" t="s">
        <v>43</v>
      </c>
      <c r="F145" t="s">
        <v>56</v>
      </c>
      <c r="G145" t="s">
        <v>366</v>
      </c>
      <c r="H145">
        <v>10</v>
      </c>
      <c r="I145">
        <v>38.5</v>
      </c>
      <c r="J145">
        <v>0</v>
      </c>
      <c r="K145">
        <v>385</v>
      </c>
      <c r="L145">
        <v>83.42</v>
      </c>
      <c r="M145" t="s">
        <v>52</v>
      </c>
    </row>
    <row r="146" spans="1:13" x14ac:dyDescent="0.3">
      <c r="A146">
        <v>10214</v>
      </c>
      <c r="B146" t="s">
        <v>388</v>
      </c>
      <c r="C146" t="s">
        <v>195</v>
      </c>
      <c r="D146" t="s">
        <v>152</v>
      </c>
      <c r="E146" t="s">
        <v>74</v>
      </c>
      <c r="F146" t="s">
        <v>44</v>
      </c>
      <c r="G146" t="s">
        <v>45</v>
      </c>
      <c r="H146">
        <v>2</v>
      </c>
      <c r="I146">
        <v>4.25</v>
      </c>
      <c r="J146">
        <v>0.05</v>
      </c>
      <c r="K146">
        <v>8.07</v>
      </c>
      <c r="L146">
        <v>2.61</v>
      </c>
      <c r="M146" t="s">
        <v>46</v>
      </c>
    </row>
    <row r="147" spans="1:13" x14ac:dyDescent="0.3">
      <c r="A147">
        <v>10119</v>
      </c>
      <c r="B147" t="s">
        <v>127</v>
      </c>
      <c r="C147" t="s">
        <v>219</v>
      </c>
      <c r="D147" t="s">
        <v>345</v>
      </c>
      <c r="E147" t="s">
        <v>125</v>
      </c>
      <c r="F147" t="s">
        <v>56</v>
      </c>
      <c r="G147" t="s">
        <v>366</v>
      </c>
      <c r="H147">
        <v>4</v>
      </c>
      <c r="I147">
        <v>38.5</v>
      </c>
      <c r="J147">
        <v>0.15</v>
      </c>
      <c r="K147">
        <v>130.9</v>
      </c>
      <c r="L147">
        <v>25.34</v>
      </c>
      <c r="M147" t="s">
        <v>46</v>
      </c>
    </row>
    <row r="148" spans="1:13" x14ac:dyDescent="0.3">
      <c r="A148">
        <v>10174</v>
      </c>
      <c r="B148" t="s">
        <v>401</v>
      </c>
      <c r="C148" t="s">
        <v>337</v>
      </c>
      <c r="D148" t="s">
        <v>189</v>
      </c>
      <c r="E148" t="s">
        <v>74</v>
      </c>
      <c r="F148" t="s">
        <v>44</v>
      </c>
      <c r="G148" t="s">
        <v>67</v>
      </c>
      <c r="H148">
        <v>6</v>
      </c>
      <c r="I148">
        <v>5.5</v>
      </c>
      <c r="J148">
        <v>0.2</v>
      </c>
      <c r="K148">
        <v>26.4</v>
      </c>
      <c r="L148">
        <v>10.32</v>
      </c>
      <c r="M148" t="s">
        <v>52</v>
      </c>
    </row>
    <row r="149" spans="1:13" x14ac:dyDescent="0.3">
      <c r="A149">
        <v>10169</v>
      </c>
      <c r="B149" t="s">
        <v>402</v>
      </c>
      <c r="C149" t="s">
        <v>403</v>
      </c>
      <c r="D149" t="s">
        <v>404</v>
      </c>
      <c r="E149" t="s">
        <v>43</v>
      </c>
      <c r="F149" t="s">
        <v>44</v>
      </c>
      <c r="G149" t="s">
        <v>67</v>
      </c>
      <c r="H149">
        <v>9</v>
      </c>
      <c r="I149">
        <v>5.5</v>
      </c>
      <c r="J149">
        <v>0</v>
      </c>
      <c r="K149">
        <v>49.5</v>
      </c>
      <c r="L149">
        <v>16.760000000000002</v>
      </c>
      <c r="M149" t="s">
        <v>46</v>
      </c>
    </row>
    <row r="150" spans="1:13" x14ac:dyDescent="0.3">
      <c r="A150">
        <v>10117</v>
      </c>
      <c r="B150" t="s">
        <v>405</v>
      </c>
      <c r="C150" t="s">
        <v>252</v>
      </c>
      <c r="D150" t="s">
        <v>345</v>
      </c>
      <c r="E150" t="s">
        <v>43</v>
      </c>
      <c r="F150" t="s">
        <v>75</v>
      </c>
      <c r="G150" t="s">
        <v>202</v>
      </c>
      <c r="H150">
        <v>9</v>
      </c>
      <c r="I150">
        <v>34.5</v>
      </c>
      <c r="J150">
        <v>0</v>
      </c>
      <c r="K150">
        <v>310.5</v>
      </c>
      <c r="L150">
        <v>84.04</v>
      </c>
      <c r="M150" t="s">
        <v>52</v>
      </c>
    </row>
    <row r="151" spans="1:13" x14ac:dyDescent="0.3">
      <c r="A151">
        <v>10060</v>
      </c>
      <c r="B151" t="s">
        <v>402</v>
      </c>
      <c r="C151" t="s">
        <v>406</v>
      </c>
      <c r="D151" t="s">
        <v>407</v>
      </c>
      <c r="E151" t="s">
        <v>61</v>
      </c>
      <c r="F151" t="s">
        <v>50</v>
      </c>
      <c r="G151" t="s">
        <v>84</v>
      </c>
      <c r="H151">
        <v>3</v>
      </c>
      <c r="I151">
        <v>75.5</v>
      </c>
      <c r="J151">
        <v>0</v>
      </c>
      <c r="K151">
        <v>226.5</v>
      </c>
      <c r="L151">
        <v>45.75</v>
      </c>
      <c r="M151" t="s">
        <v>46</v>
      </c>
    </row>
    <row r="152" spans="1:13" x14ac:dyDescent="0.3">
      <c r="A152">
        <v>10226</v>
      </c>
      <c r="B152" t="s">
        <v>408</v>
      </c>
      <c r="C152" t="s">
        <v>226</v>
      </c>
      <c r="D152" t="s">
        <v>205</v>
      </c>
      <c r="E152" t="s">
        <v>43</v>
      </c>
      <c r="F152" t="s">
        <v>56</v>
      </c>
      <c r="G152" t="s">
        <v>217</v>
      </c>
      <c r="H152">
        <v>6</v>
      </c>
      <c r="I152">
        <v>8</v>
      </c>
      <c r="J152">
        <v>0</v>
      </c>
      <c r="K152">
        <v>48</v>
      </c>
      <c r="L152">
        <v>11.88</v>
      </c>
      <c r="M152" t="s">
        <v>46</v>
      </c>
    </row>
    <row r="153" spans="1:13" x14ac:dyDescent="0.3">
      <c r="A153">
        <v>10194</v>
      </c>
      <c r="B153" t="s">
        <v>409</v>
      </c>
      <c r="C153" t="s">
        <v>410</v>
      </c>
      <c r="D153" t="s">
        <v>115</v>
      </c>
      <c r="E153" t="s">
        <v>61</v>
      </c>
      <c r="F153" t="s">
        <v>56</v>
      </c>
      <c r="G153" t="s">
        <v>149</v>
      </c>
      <c r="H153">
        <v>6</v>
      </c>
      <c r="I153">
        <v>42</v>
      </c>
      <c r="J153">
        <v>0</v>
      </c>
      <c r="K153">
        <v>252</v>
      </c>
      <c r="L153">
        <v>52.32</v>
      </c>
      <c r="M153" t="s">
        <v>52</v>
      </c>
    </row>
    <row r="154" spans="1:13" x14ac:dyDescent="0.3">
      <c r="A154">
        <v>10285</v>
      </c>
      <c r="B154" t="s">
        <v>298</v>
      </c>
      <c r="C154" t="s">
        <v>144</v>
      </c>
      <c r="D154" t="s">
        <v>384</v>
      </c>
      <c r="E154" t="s">
        <v>91</v>
      </c>
      <c r="F154" t="s">
        <v>56</v>
      </c>
      <c r="G154" t="s">
        <v>217</v>
      </c>
      <c r="H154">
        <v>7</v>
      </c>
      <c r="I154">
        <v>8</v>
      </c>
      <c r="J154">
        <v>0</v>
      </c>
      <c r="K154">
        <v>56</v>
      </c>
      <c r="L154">
        <v>11.76</v>
      </c>
      <c r="M154" t="s">
        <v>63</v>
      </c>
    </row>
    <row r="155" spans="1:13" x14ac:dyDescent="0.3">
      <c r="A155">
        <v>10364</v>
      </c>
      <c r="B155" t="s">
        <v>411</v>
      </c>
      <c r="C155" t="s">
        <v>195</v>
      </c>
      <c r="D155" t="s">
        <v>412</v>
      </c>
      <c r="E155" t="s">
        <v>43</v>
      </c>
      <c r="F155" t="s">
        <v>44</v>
      </c>
      <c r="G155" t="s">
        <v>156</v>
      </c>
      <c r="H155">
        <v>8</v>
      </c>
      <c r="I155">
        <v>27</v>
      </c>
      <c r="J155">
        <v>0.1</v>
      </c>
      <c r="K155">
        <v>194.4</v>
      </c>
      <c r="L155">
        <v>62.45</v>
      </c>
      <c r="M155" t="s">
        <v>63</v>
      </c>
    </row>
    <row r="156" spans="1:13" x14ac:dyDescent="0.3">
      <c r="A156">
        <v>10264</v>
      </c>
      <c r="B156" t="s">
        <v>413</v>
      </c>
      <c r="C156" t="s">
        <v>414</v>
      </c>
      <c r="D156" t="s">
        <v>335</v>
      </c>
      <c r="E156" t="s">
        <v>91</v>
      </c>
      <c r="F156" t="s">
        <v>56</v>
      </c>
      <c r="G156" t="s">
        <v>133</v>
      </c>
      <c r="H156">
        <v>1</v>
      </c>
      <c r="I156">
        <v>9.99</v>
      </c>
      <c r="J156">
        <v>0</v>
      </c>
      <c r="K156">
        <v>9.99</v>
      </c>
      <c r="L156">
        <v>2.1</v>
      </c>
      <c r="M156" t="s">
        <v>46</v>
      </c>
    </row>
    <row r="157" spans="1:13" x14ac:dyDescent="0.3">
      <c r="A157">
        <v>10039</v>
      </c>
      <c r="B157" t="s">
        <v>415</v>
      </c>
      <c r="C157" t="s">
        <v>416</v>
      </c>
      <c r="D157" t="s">
        <v>417</v>
      </c>
      <c r="E157" t="s">
        <v>125</v>
      </c>
      <c r="F157" t="s">
        <v>75</v>
      </c>
      <c r="G157" t="s">
        <v>76</v>
      </c>
      <c r="H157">
        <v>9</v>
      </c>
      <c r="I157">
        <v>22</v>
      </c>
      <c r="J157">
        <v>0.2</v>
      </c>
      <c r="K157">
        <v>158.4</v>
      </c>
      <c r="L157">
        <v>50.66</v>
      </c>
      <c r="M157" t="s">
        <v>63</v>
      </c>
    </row>
    <row r="158" spans="1:13" x14ac:dyDescent="0.3">
      <c r="A158">
        <v>10127</v>
      </c>
      <c r="B158" t="s">
        <v>418</v>
      </c>
      <c r="C158" t="s">
        <v>419</v>
      </c>
      <c r="D158" t="s">
        <v>420</v>
      </c>
      <c r="E158" t="s">
        <v>61</v>
      </c>
      <c r="F158" t="s">
        <v>56</v>
      </c>
      <c r="G158" t="s">
        <v>133</v>
      </c>
      <c r="H158">
        <v>2</v>
      </c>
      <c r="I158">
        <v>9.99</v>
      </c>
      <c r="J158">
        <v>0.15</v>
      </c>
      <c r="K158">
        <v>16.98</v>
      </c>
      <c r="L158">
        <v>3.86</v>
      </c>
      <c r="M158" t="s">
        <v>52</v>
      </c>
    </row>
    <row r="159" spans="1:13" x14ac:dyDescent="0.3">
      <c r="A159">
        <v>10147</v>
      </c>
      <c r="B159" t="s">
        <v>100</v>
      </c>
      <c r="C159" t="s">
        <v>41</v>
      </c>
      <c r="D159" t="s">
        <v>407</v>
      </c>
      <c r="E159" t="s">
        <v>43</v>
      </c>
      <c r="F159" t="s">
        <v>50</v>
      </c>
      <c r="G159" t="s">
        <v>84</v>
      </c>
      <c r="H159">
        <v>8</v>
      </c>
      <c r="I159">
        <v>75.5</v>
      </c>
      <c r="J159">
        <v>0.25</v>
      </c>
      <c r="K159">
        <v>453</v>
      </c>
      <c r="L159">
        <v>85.97</v>
      </c>
      <c r="M159" t="s">
        <v>52</v>
      </c>
    </row>
    <row r="160" spans="1:13" x14ac:dyDescent="0.3">
      <c r="A160">
        <v>10029</v>
      </c>
      <c r="B160" t="s">
        <v>421</v>
      </c>
      <c r="C160" t="s">
        <v>78</v>
      </c>
      <c r="D160" t="s">
        <v>242</v>
      </c>
      <c r="E160" t="s">
        <v>43</v>
      </c>
      <c r="F160" t="s">
        <v>50</v>
      </c>
      <c r="G160" t="s">
        <v>80</v>
      </c>
      <c r="H160">
        <v>10</v>
      </c>
      <c r="I160">
        <v>89</v>
      </c>
      <c r="J160">
        <v>0</v>
      </c>
      <c r="K160">
        <v>890</v>
      </c>
      <c r="L160">
        <v>168.62</v>
      </c>
      <c r="M160" t="s">
        <v>63</v>
      </c>
    </row>
    <row r="161" spans="1:13" x14ac:dyDescent="0.3">
      <c r="A161">
        <v>10023</v>
      </c>
      <c r="B161" t="s">
        <v>422</v>
      </c>
      <c r="C161" t="s">
        <v>423</v>
      </c>
      <c r="D161" t="s">
        <v>424</v>
      </c>
      <c r="E161" t="s">
        <v>61</v>
      </c>
      <c r="F161" t="s">
        <v>56</v>
      </c>
      <c r="G161" t="s">
        <v>133</v>
      </c>
      <c r="H161">
        <v>2</v>
      </c>
      <c r="I161">
        <v>9.99</v>
      </c>
      <c r="J161">
        <v>0</v>
      </c>
      <c r="K161">
        <v>19.98</v>
      </c>
      <c r="L161">
        <v>4.2699999999999996</v>
      </c>
      <c r="M161" t="s">
        <v>63</v>
      </c>
    </row>
    <row r="162" spans="1:13" x14ac:dyDescent="0.3">
      <c r="A162">
        <v>10004</v>
      </c>
      <c r="B162" t="s">
        <v>422</v>
      </c>
      <c r="C162" t="s">
        <v>72</v>
      </c>
      <c r="D162" t="s">
        <v>277</v>
      </c>
      <c r="E162" t="s">
        <v>74</v>
      </c>
      <c r="F162" t="s">
        <v>44</v>
      </c>
      <c r="G162" t="s">
        <v>45</v>
      </c>
      <c r="H162">
        <v>4</v>
      </c>
      <c r="I162">
        <v>4.25</v>
      </c>
      <c r="J162">
        <v>0.15</v>
      </c>
      <c r="K162">
        <v>14.45</v>
      </c>
      <c r="L162">
        <v>4.45</v>
      </c>
      <c r="M162" t="s">
        <v>52</v>
      </c>
    </row>
    <row r="163" spans="1:13" x14ac:dyDescent="0.3">
      <c r="A163">
        <v>10001</v>
      </c>
      <c r="B163" t="s">
        <v>243</v>
      </c>
      <c r="C163" t="s">
        <v>396</v>
      </c>
      <c r="D163" t="s">
        <v>256</v>
      </c>
      <c r="E163" t="s">
        <v>43</v>
      </c>
      <c r="F163" t="s">
        <v>75</v>
      </c>
      <c r="G163" t="s">
        <v>76</v>
      </c>
      <c r="H163">
        <v>4</v>
      </c>
      <c r="I163">
        <v>22</v>
      </c>
      <c r="J163">
        <v>0.05</v>
      </c>
      <c r="K163">
        <v>83.6</v>
      </c>
      <c r="L163">
        <v>20.88</v>
      </c>
      <c r="M163" t="s">
        <v>63</v>
      </c>
    </row>
    <row r="164" spans="1:13" x14ac:dyDescent="0.3">
      <c r="A164">
        <v>10335</v>
      </c>
      <c r="B164" t="s">
        <v>130</v>
      </c>
      <c r="C164" t="s">
        <v>135</v>
      </c>
      <c r="D164" t="s">
        <v>292</v>
      </c>
      <c r="E164" t="s">
        <v>74</v>
      </c>
      <c r="F164" t="s">
        <v>50</v>
      </c>
      <c r="G164" t="s">
        <v>80</v>
      </c>
      <c r="H164">
        <v>4</v>
      </c>
      <c r="I164">
        <v>89</v>
      </c>
      <c r="J164">
        <v>0.15</v>
      </c>
      <c r="K164">
        <v>302.60000000000002</v>
      </c>
      <c r="L164">
        <v>52.77</v>
      </c>
      <c r="M164" t="s">
        <v>52</v>
      </c>
    </row>
    <row r="165" spans="1:13" x14ac:dyDescent="0.3">
      <c r="A165">
        <v>10085</v>
      </c>
      <c r="B165" t="s">
        <v>425</v>
      </c>
      <c r="C165" t="s">
        <v>426</v>
      </c>
      <c r="D165" t="s">
        <v>87</v>
      </c>
      <c r="E165" t="s">
        <v>125</v>
      </c>
      <c r="F165" t="s">
        <v>44</v>
      </c>
      <c r="G165" t="s">
        <v>106</v>
      </c>
      <c r="H165">
        <v>4</v>
      </c>
      <c r="I165">
        <v>6.75</v>
      </c>
      <c r="J165">
        <v>0.2</v>
      </c>
      <c r="K165">
        <v>21.6</v>
      </c>
      <c r="L165">
        <v>6.69</v>
      </c>
      <c r="M165" t="s">
        <v>52</v>
      </c>
    </row>
    <row r="166" spans="1:13" x14ac:dyDescent="0.3">
      <c r="A166">
        <v>10365</v>
      </c>
      <c r="B166" t="s">
        <v>375</v>
      </c>
      <c r="C166" t="s">
        <v>376</v>
      </c>
      <c r="D166" t="s">
        <v>165</v>
      </c>
      <c r="E166" t="s">
        <v>43</v>
      </c>
      <c r="F166" t="s">
        <v>75</v>
      </c>
      <c r="G166" t="s">
        <v>76</v>
      </c>
      <c r="H166">
        <v>9</v>
      </c>
      <c r="I166">
        <v>22</v>
      </c>
      <c r="J166">
        <v>0.2</v>
      </c>
      <c r="K166">
        <v>158.4</v>
      </c>
      <c r="L166">
        <v>50.62</v>
      </c>
      <c r="M166" t="s">
        <v>46</v>
      </c>
    </row>
    <row r="167" spans="1:13" x14ac:dyDescent="0.3">
      <c r="A167">
        <v>10054</v>
      </c>
      <c r="B167" t="s">
        <v>427</v>
      </c>
      <c r="C167" t="s">
        <v>428</v>
      </c>
      <c r="D167" t="s">
        <v>429</v>
      </c>
      <c r="E167" t="s">
        <v>91</v>
      </c>
      <c r="F167" t="s">
        <v>44</v>
      </c>
      <c r="G167" t="s">
        <v>156</v>
      </c>
      <c r="H167">
        <v>10</v>
      </c>
      <c r="I167">
        <v>27</v>
      </c>
      <c r="J167">
        <v>0.2</v>
      </c>
      <c r="K167">
        <v>216</v>
      </c>
      <c r="L167">
        <v>83.1</v>
      </c>
      <c r="M167" t="s">
        <v>63</v>
      </c>
    </row>
    <row r="168" spans="1:13" x14ac:dyDescent="0.3">
      <c r="A168">
        <v>10201</v>
      </c>
      <c r="B168" t="s">
        <v>332</v>
      </c>
      <c r="C168" t="s">
        <v>430</v>
      </c>
      <c r="D168" t="s">
        <v>326</v>
      </c>
      <c r="E168" t="s">
        <v>61</v>
      </c>
      <c r="F168" t="s">
        <v>44</v>
      </c>
      <c r="G168" t="s">
        <v>106</v>
      </c>
      <c r="H168">
        <v>10</v>
      </c>
      <c r="I168">
        <v>6.75</v>
      </c>
      <c r="J168">
        <v>0</v>
      </c>
      <c r="K168">
        <v>67.5</v>
      </c>
      <c r="L168">
        <v>20.99</v>
      </c>
      <c r="M168" t="s">
        <v>52</v>
      </c>
    </row>
    <row r="169" spans="1:13" x14ac:dyDescent="0.3">
      <c r="A169">
        <v>10290</v>
      </c>
      <c r="B169" t="s">
        <v>431</v>
      </c>
      <c r="C169" t="s">
        <v>204</v>
      </c>
      <c r="D169" t="s">
        <v>335</v>
      </c>
      <c r="E169" t="s">
        <v>61</v>
      </c>
      <c r="F169" t="s">
        <v>56</v>
      </c>
      <c r="G169" t="s">
        <v>366</v>
      </c>
      <c r="H169">
        <v>7</v>
      </c>
      <c r="I169">
        <v>38.5</v>
      </c>
      <c r="J169">
        <v>0.25</v>
      </c>
      <c r="K169">
        <v>202.12</v>
      </c>
      <c r="L169">
        <v>44.32</v>
      </c>
      <c r="M169" t="s">
        <v>63</v>
      </c>
    </row>
    <row r="170" spans="1:13" x14ac:dyDescent="0.3">
      <c r="A170">
        <v>10011</v>
      </c>
      <c r="B170" t="s">
        <v>215</v>
      </c>
      <c r="C170" t="s">
        <v>151</v>
      </c>
      <c r="D170" t="s">
        <v>216</v>
      </c>
      <c r="E170" t="s">
        <v>91</v>
      </c>
      <c r="F170" t="s">
        <v>56</v>
      </c>
      <c r="G170" t="s">
        <v>217</v>
      </c>
      <c r="H170">
        <v>7</v>
      </c>
      <c r="I170">
        <v>8</v>
      </c>
      <c r="J170">
        <v>0.15</v>
      </c>
      <c r="K170">
        <v>47.6</v>
      </c>
      <c r="L170">
        <v>9.59</v>
      </c>
      <c r="M170" t="s">
        <v>52</v>
      </c>
    </row>
    <row r="171" spans="1:13" x14ac:dyDescent="0.3">
      <c r="A171">
        <v>10312</v>
      </c>
      <c r="B171" t="s">
        <v>432</v>
      </c>
      <c r="C171" t="s">
        <v>385</v>
      </c>
      <c r="D171" t="s">
        <v>433</v>
      </c>
      <c r="E171" t="s">
        <v>74</v>
      </c>
      <c r="F171" t="s">
        <v>75</v>
      </c>
      <c r="G171" t="s">
        <v>202</v>
      </c>
      <c r="H171">
        <v>8</v>
      </c>
      <c r="I171">
        <v>34.5</v>
      </c>
      <c r="J171">
        <v>0.2</v>
      </c>
      <c r="K171">
        <v>220.8</v>
      </c>
      <c r="L171">
        <v>54.64</v>
      </c>
      <c r="M171" t="s">
        <v>63</v>
      </c>
    </row>
    <row r="172" spans="1:13" x14ac:dyDescent="0.3">
      <c r="A172">
        <v>10076</v>
      </c>
      <c r="B172" t="s">
        <v>434</v>
      </c>
      <c r="C172" t="s">
        <v>226</v>
      </c>
      <c r="D172" t="s">
        <v>322</v>
      </c>
      <c r="E172" t="s">
        <v>43</v>
      </c>
      <c r="F172" t="s">
        <v>50</v>
      </c>
      <c r="G172" t="s">
        <v>62</v>
      </c>
      <c r="H172">
        <v>2</v>
      </c>
      <c r="I172">
        <v>65</v>
      </c>
      <c r="J172">
        <v>0</v>
      </c>
      <c r="K172">
        <v>130</v>
      </c>
      <c r="L172">
        <v>21.23</v>
      </c>
      <c r="M172" t="s">
        <v>46</v>
      </c>
    </row>
    <row r="173" spans="1:13" x14ac:dyDescent="0.3">
      <c r="A173">
        <v>10105</v>
      </c>
      <c r="B173" t="s">
        <v>435</v>
      </c>
      <c r="C173" t="s">
        <v>436</v>
      </c>
      <c r="D173" t="s">
        <v>437</v>
      </c>
      <c r="E173" t="s">
        <v>125</v>
      </c>
      <c r="F173" t="s">
        <v>50</v>
      </c>
      <c r="G173" t="s">
        <v>80</v>
      </c>
      <c r="H173">
        <v>10</v>
      </c>
      <c r="I173">
        <v>89</v>
      </c>
      <c r="J173">
        <v>0.2</v>
      </c>
      <c r="K173">
        <v>712</v>
      </c>
      <c r="L173">
        <v>132.76</v>
      </c>
      <c r="M173" t="s">
        <v>46</v>
      </c>
    </row>
    <row r="174" spans="1:13" x14ac:dyDescent="0.3">
      <c r="A174">
        <v>10350</v>
      </c>
      <c r="B174" t="s">
        <v>353</v>
      </c>
      <c r="C174" t="s">
        <v>250</v>
      </c>
      <c r="D174" t="s">
        <v>302</v>
      </c>
      <c r="E174" t="s">
        <v>74</v>
      </c>
      <c r="F174" t="s">
        <v>75</v>
      </c>
      <c r="G174" t="s">
        <v>76</v>
      </c>
      <c r="H174">
        <v>7</v>
      </c>
      <c r="I174">
        <v>22</v>
      </c>
      <c r="J174">
        <v>0</v>
      </c>
      <c r="K174">
        <v>154</v>
      </c>
      <c r="L174">
        <v>41.01</v>
      </c>
      <c r="M174" t="s">
        <v>63</v>
      </c>
    </row>
    <row r="175" spans="1:13" x14ac:dyDescent="0.3">
      <c r="A175">
        <v>10175</v>
      </c>
      <c r="B175" t="s">
        <v>438</v>
      </c>
      <c r="C175" t="s">
        <v>387</v>
      </c>
      <c r="D175" t="s">
        <v>439</v>
      </c>
      <c r="E175" t="s">
        <v>61</v>
      </c>
      <c r="F175" t="s">
        <v>56</v>
      </c>
      <c r="G175" t="s">
        <v>57</v>
      </c>
      <c r="H175">
        <v>9</v>
      </c>
      <c r="I175">
        <v>55</v>
      </c>
      <c r="J175">
        <v>0.1</v>
      </c>
      <c r="K175">
        <v>445.5</v>
      </c>
      <c r="L175">
        <v>106.86</v>
      </c>
      <c r="M175" t="s">
        <v>52</v>
      </c>
    </row>
    <row r="176" spans="1:13" x14ac:dyDescent="0.3">
      <c r="A176">
        <v>10282</v>
      </c>
      <c r="B176" t="s">
        <v>110</v>
      </c>
      <c r="C176" t="s">
        <v>141</v>
      </c>
      <c r="D176" t="s">
        <v>220</v>
      </c>
      <c r="E176" t="s">
        <v>125</v>
      </c>
      <c r="F176" t="s">
        <v>56</v>
      </c>
      <c r="G176" t="s">
        <v>149</v>
      </c>
      <c r="H176">
        <v>3</v>
      </c>
      <c r="I176">
        <v>42</v>
      </c>
      <c r="J176">
        <v>0.2</v>
      </c>
      <c r="K176">
        <v>100.8</v>
      </c>
      <c r="L176">
        <v>21.48</v>
      </c>
      <c r="M176" t="s">
        <v>52</v>
      </c>
    </row>
    <row r="177" spans="1:13" x14ac:dyDescent="0.3">
      <c r="A177">
        <v>10068</v>
      </c>
      <c r="B177" t="s">
        <v>440</v>
      </c>
      <c r="C177" t="s">
        <v>441</v>
      </c>
      <c r="D177" t="s">
        <v>442</v>
      </c>
      <c r="E177" t="s">
        <v>61</v>
      </c>
      <c r="F177" t="s">
        <v>44</v>
      </c>
      <c r="G177" t="s">
        <v>67</v>
      </c>
      <c r="H177">
        <v>9</v>
      </c>
      <c r="I177">
        <v>5.5</v>
      </c>
      <c r="J177">
        <v>0.15</v>
      </c>
      <c r="K177">
        <v>42.07</v>
      </c>
      <c r="L177">
        <v>12.57</v>
      </c>
      <c r="M177" t="s">
        <v>63</v>
      </c>
    </row>
    <row r="178" spans="1:13" x14ac:dyDescent="0.3">
      <c r="A178">
        <v>10052</v>
      </c>
      <c r="B178" t="s">
        <v>443</v>
      </c>
      <c r="C178" t="s">
        <v>273</v>
      </c>
      <c r="D178" t="s">
        <v>444</v>
      </c>
      <c r="E178" t="s">
        <v>61</v>
      </c>
      <c r="F178" t="s">
        <v>56</v>
      </c>
      <c r="G178" t="s">
        <v>366</v>
      </c>
      <c r="H178">
        <v>4</v>
      </c>
      <c r="I178">
        <v>38.5</v>
      </c>
      <c r="J178">
        <v>0</v>
      </c>
      <c r="K178">
        <v>154</v>
      </c>
      <c r="L178">
        <v>35.47</v>
      </c>
      <c r="M178" t="s">
        <v>52</v>
      </c>
    </row>
    <row r="179" spans="1:13" x14ac:dyDescent="0.3">
      <c r="A179">
        <v>10189</v>
      </c>
      <c r="B179" t="s">
        <v>445</v>
      </c>
      <c r="C179" t="s">
        <v>416</v>
      </c>
      <c r="D179" t="s">
        <v>446</v>
      </c>
      <c r="E179" t="s">
        <v>125</v>
      </c>
      <c r="F179" t="s">
        <v>44</v>
      </c>
      <c r="G179" t="s">
        <v>45</v>
      </c>
      <c r="H179">
        <v>6</v>
      </c>
      <c r="I179">
        <v>4.25</v>
      </c>
      <c r="J179">
        <v>0.1</v>
      </c>
      <c r="K179">
        <v>22.95</v>
      </c>
      <c r="L179">
        <v>8.8699999999999992</v>
      </c>
      <c r="M179" t="s">
        <v>46</v>
      </c>
    </row>
    <row r="180" spans="1:13" x14ac:dyDescent="0.3">
      <c r="A180">
        <v>10051</v>
      </c>
      <c r="B180" t="s">
        <v>222</v>
      </c>
      <c r="C180" t="s">
        <v>430</v>
      </c>
      <c r="D180" t="s">
        <v>165</v>
      </c>
      <c r="E180" t="s">
        <v>125</v>
      </c>
      <c r="F180" t="s">
        <v>56</v>
      </c>
      <c r="G180" t="s">
        <v>217</v>
      </c>
      <c r="H180">
        <v>2</v>
      </c>
      <c r="I180">
        <v>8</v>
      </c>
      <c r="J180">
        <v>0.25</v>
      </c>
      <c r="K180">
        <v>12</v>
      </c>
      <c r="L180">
        <v>2.57</v>
      </c>
      <c r="M180" t="s">
        <v>46</v>
      </c>
    </row>
    <row r="181" spans="1:13" x14ac:dyDescent="0.3">
      <c r="A181">
        <v>10275</v>
      </c>
      <c r="B181" t="s">
        <v>447</v>
      </c>
      <c r="C181" t="s">
        <v>347</v>
      </c>
      <c r="D181" t="s">
        <v>94</v>
      </c>
      <c r="E181" t="s">
        <v>43</v>
      </c>
      <c r="F181" t="s">
        <v>75</v>
      </c>
      <c r="G181" t="s">
        <v>202</v>
      </c>
      <c r="H181">
        <v>6</v>
      </c>
      <c r="I181">
        <v>34.5</v>
      </c>
      <c r="J181">
        <v>0</v>
      </c>
      <c r="K181">
        <v>207</v>
      </c>
      <c r="L181">
        <v>60.52</v>
      </c>
      <c r="M181" t="s">
        <v>46</v>
      </c>
    </row>
    <row r="182" spans="1:13" x14ac:dyDescent="0.3">
      <c r="A182">
        <v>10218</v>
      </c>
      <c r="B182" t="s">
        <v>438</v>
      </c>
      <c r="C182" t="s">
        <v>441</v>
      </c>
      <c r="D182" t="s">
        <v>448</v>
      </c>
      <c r="E182" t="s">
        <v>74</v>
      </c>
      <c r="F182" t="s">
        <v>75</v>
      </c>
      <c r="G182" t="s">
        <v>126</v>
      </c>
      <c r="H182">
        <v>5</v>
      </c>
      <c r="I182">
        <v>12.99</v>
      </c>
      <c r="J182">
        <v>0</v>
      </c>
      <c r="K182">
        <v>64.95</v>
      </c>
      <c r="L182">
        <v>20.52</v>
      </c>
      <c r="M182" t="s">
        <v>52</v>
      </c>
    </row>
    <row r="183" spans="1:13" x14ac:dyDescent="0.3">
      <c r="A183">
        <v>10320</v>
      </c>
      <c r="B183" t="s">
        <v>449</v>
      </c>
      <c r="C183" t="s">
        <v>450</v>
      </c>
      <c r="D183" t="s">
        <v>451</v>
      </c>
      <c r="F183" t="s">
        <v>44</v>
      </c>
      <c r="G183" t="s">
        <v>106</v>
      </c>
      <c r="H183">
        <v>2</v>
      </c>
      <c r="I183">
        <v>6.75</v>
      </c>
      <c r="J183">
        <v>0.1</v>
      </c>
      <c r="K183">
        <v>12.15</v>
      </c>
      <c r="L183">
        <v>4.5199999999999996</v>
      </c>
      <c r="M183" t="s">
        <v>52</v>
      </c>
    </row>
    <row r="184" spans="1:13" x14ac:dyDescent="0.3">
      <c r="A184">
        <v>10073</v>
      </c>
      <c r="B184" t="s">
        <v>323</v>
      </c>
      <c r="C184" t="s">
        <v>452</v>
      </c>
      <c r="D184" t="s">
        <v>112</v>
      </c>
      <c r="E184" t="s">
        <v>61</v>
      </c>
      <c r="F184" t="s">
        <v>56</v>
      </c>
      <c r="G184" t="s">
        <v>217</v>
      </c>
      <c r="H184">
        <v>4</v>
      </c>
      <c r="I184">
        <v>8</v>
      </c>
      <c r="J184">
        <v>0.25</v>
      </c>
      <c r="K184">
        <v>24</v>
      </c>
      <c r="L184">
        <v>5.51</v>
      </c>
      <c r="M184" t="s">
        <v>63</v>
      </c>
    </row>
    <row r="185" spans="1:13" x14ac:dyDescent="0.3">
      <c r="A185">
        <v>10031</v>
      </c>
      <c r="B185" t="s">
        <v>171</v>
      </c>
      <c r="C185" t="s">
        <v>299</v>
      </c>
      <c r="D185" t="s">
        <v>331</v>
      </c>
      <c r="E185" t="s">
        <v>125</v>
      </c>
      <c r="F185" t="s">
        <v>44</v>
      </c>
      <c r="G185" t="s">
        <v>45</v>
      </c>
      <c r="H185">
        <v>5</v>
      </c>
      <c r="I185">
        <v>4.25</v>
      </c>
      <c r="J185">
        <v>0.2</v>
      </c>
      <c r="K185">
        <v>17</v>
      </c>
      <c r="L185">
        <v>5.29</v>
      </c>
      <c r="M185" t="s">
        <v>52</v>
      </c>
    </row>
    <row r="186" spans="1:13" x14ac:dyDescent="0.3">
      <c r="A186">
        <v>10159</v>
      </c>
      <c r="B186" t="s">
        <v>77</v>
      </c>
      <c r="C186" t="s">
        <v>265</v>
      </c>
      <c r="D186" t="s">
        <v>453</v>
      </c>
      <c r="E186" t="s">
        <v>43</v>
      </c>
      <c r="F186" t="s">
        <v>56</v>
      </c>
      <c r="G186" t="s">
        <v>57</v>
      </c>
      <c r="H186">
        <v>4</v>
      </c>
      <c r="I186">
        <v>55</v>
      </c>
      <c r="J186">
        <v>0.25</v>
      </c>
      <c r="K186">
        <v>165</v>
      </c>
      <c r="L186">
        <v>37.5</v>
      </c>
      <c r="M186" t="s">
        <v>46</v>
      </c>
    </row>
    <row r="187" spans="1:13" x14ac:dyDescent="0.3">
      <c r="A187">
        <v>10131</v>
      </c>
      <c r="B187" t="s">
        <v>454</v>
      </c>
      <c r="C187" t="s">
        <v>316</v>
      </c>
      <c r="D187" t="s">
        <v>455</v>
      </c>
      <c r="E187" t="s">
        <v>43</v>
      </c>
      <c r="F187" t="s">
        <v>56</v>
      </c>
      <c r="G187" t="s">
        <v>133</v>
      </c>
      <c r="H187">
        <v>6</v>
      </c>
      <c r="I187">
        <v>9.99</v>
      </c>
      <c r="J187">
        <v>0</v>
      </c>
      <c r="K187">
        <v>59.94</v>
      </c>
      <c r="L187">
        <v>13.41</v>
      </c>
      <c r="M187" t="s">
        <v>46</v>
      </c>
    </row>
    <row r="188" spans="1:13" x14ac:dyDescent="0.3">
      <c r="A188">
        <v>10027</v>
      </c>
      <c r="B188" t="s">
        <v>212</v>
      </c>
      <c r="C188" t="s">
        <v>456</v>
      </c>
      <c r="D188" t="s">
        <v>94</v>
      </c>
      <c r="E188" t="s">
        <v>61</v>
      </c>
      <c r="F188" t="s">
        <v>56</v>
      </c>
      <c r="G188" t="s">
        <v>149</v>
      </c>
      <c r="H188">
        <v>4</v>
      </c>
      <c r="I188">
        <v>42</v>
      </c>
      <c r="J188">
        <v>0.1</v>
      </c>
      <c r="K188">
        <v>151.19999999999999</v>
      </c>
      <c r="L188">
        <v>30.45</v>
      </c>
      <c r="M188" t="s">
        <v>46</v>
      </c>
    </row>
    <row r="189" spans="1:13" x14ac:dyDescent="0.3">
      <c r="A189">
        <v>10323</v>
      </c>
      <c r="B189" t="s">
        <v>457</v>
      </c>
      <c r="C189" t="s">
        <v>423</v>
      </c>
      <c r="D189" t="s">
        <v>458</v>
      </c>
      <c r="E189" t="s">
        <v>74</v>
      </c>
      <c r="F189" t="s">
        <v>56</v>
      </c>
      <c r="G189" t="s">
        <v>149</v>
      </c>
      <c r="H189">
        <v>3</v>
      </c>
      <c r="I189">
        <v>42</v>
      </c>
      <c r="J189">
        <v>0</v>
      </c>
      <c r="K189">
        <v>126</v>
      </c>
      <c r="L189">
        <v>28.16</v>
      </c>
      <c r="M189" t="s">
        <v>52</v>
      </c>
    </row>
    <row r="190" spans="1:13" x14ac:dyDescent="0.3">
      <c r="A190">
        <v>10036</v>
      </c>
      <c r="B190" t="s">
        <v>459</v>
      </c>
      <c r="C190" t="s">
        <v>270</v>
      </c>
      <c r="D190" t="s">
        <v>302</v>
      </c>
      <c r="E190" t="s">
        <v>74</v>
      </c>
      <c r="F190" t="s">
        <v>75</v>
      </c>
      <c r="G190" t="s">
        <v>126</v>
      </c>
      <c r="H190">
        <v>7</v>
      </c>
      <c r="I190">
        <v>12.99</v>
      </c>
      <c r="J190">
        <v>0.1</v>
      </c>
      <c r="K190">
        <v>81.84</v>
      </c>
      <c r="L190">
        <v>19.78</v>
      </c>
      <c r="M190" t="s">
        <v>46</v>
      </c>
    </row>
    <row r="191" spans="1:13" x14ac:dyDescent="0.3">
      <c r="A191">
        <v>10204</v>
      </c>
      <c r="B191" t="s">
        <v>460</v>
      </c>
      <c r="C191" t="s">
        <v>428</v>
      </c>
      <c r="D191" t="s">
        <v>331</v>
      </c>
      <c r="F191" t="s">
        <v>44</v>
      </c>
      <c r="G191" t="s">
        <v>106</v>
      </c>
      <c r="H191">
        <v>6</v>
      </c>
      <c r="I191">
        <v>6.75</v>
      </c>
      <c r="J191">
        <v>0.25</v>
      </c>
      <c r="K191">
        <v>30.38</v>
      </c>
      <c r="L191">
        <v>11.3</v>
      </c>
      <c r="M191" t="s">
        <v>63</v>
      </c>
    </row>
    <row r="192" spans="1:13" x14ac:dyDescent="0.3">
      <c r="A192">
        <v>10156</v>
      </c>
      <c r="B192" t="s">
        <v>187</v>
      </c>
      <c r="C192" t="s">
        <v>378</v>
      </c>
      <c r="D192" t="s">
        <v>284</v>
      </c>
      <c r="E192" t="s">
        <v>91</v>
      </c>
      <c r="F192" t="s">
        <v>75</v>
      </c>
      <c r="G192" t="s">
        <v>95</v>
      </c>
      <c r="H192">
        <v>9</v>
      </c>
      <c r="I192">
        <v>18.75</v>
      </c>
      <c r="J192">
        <v>0.15</v>
      </c>
      <c r="K192">
        <v>143.44</v>
      </c>
      <c r="L192">
        <v>34.36</v>
      </c>
      <c r="M192" t="s">
        <v>63</v>
      </c>
    </row>
    <row r="193" spans="1:13" x14ac:dyDescent="0.3">
      <c r="A193">
        <v>10259</v>
      </c>
      <c r="B193" t="s">
        <v>278</v>
      </c>
      <c r="C193" t="s">
        <v>93</v>
      </c>
      <c r="D193" t="s">
        <v>458</v>
      </c>
      <c r="E193" t="s">
        <v>74</v>
      </c>
      <c r="F193" t="s">
        <v>56</v>
      </c>
      <c r="G193" t="s">
        <v>149</v>
      </c>
      <c r="H193">
        <v>2</v>
      </c>
      <c r="I193">
        <v>42</v>
      </c>
      <c r="J193">
        <v>0.15</v>
      </c>
      <c r="K193">
        <v>71.400000000000006</v>
      </c>
      <c r="L193">
        <v>13.6</v>
      </c>
      <c r="M193" t="s">
        <v>63</v>
      </c>
    </row>
    <row r="194" spans="1:13" x14ac:dyDescent="0.3">
      <c r="A194">
        <v>10070</v>
      </c>
      <c r="B194" t="s">
        <v>461</v>
      </c>
      <c r="C194" t="s">
        <v>462</v>
      </c>
      <c r="D194" t="s">
        <v>463</v>
      </c>
      <c r="E194" t="s">
        <v>61</v>
      </c>
      <c r="F194" t="s">
        <v>56</v>
      </c>
      <c r="G194" t="s">
        <v>217</v>
      </c>
      <c r="H194">
        <v>5</v>
      </c>
      <c r="I194">
        <v>8</v>
      </c>
      <c r="J194">
        <v>0.15</v>
      </c>
      <c r="K194">
        <v>34</v>
      </c>
      <c r="L194">
        <v>8.27</v>
      </c>
      <c r="M194" t="s">
        <v>52</v>
      </c>
    </row>
    <row r="195" spans="1:13" x14ac:dyDescent="0.3">
      <c r="A195">
        <v>10364</v>
      </c>
      <c r="B195" t="s">
        <v>411</v>
      </c>
      <c r="C195" t="s">
        <v>195</v>
      </c>
      <c r="D195" t="s">
        <v>412</v>
      </c>
      <c r="E195" t="s">
        <v>43</v>
      </c>
      <c r="F195" t="s">
        <v>44</v>
      </c>
      <c r="G195" t="s">
        <v>156</v>
      </c>
      <c r="H195">
        <v>8</v>
      </c>
      <c r="I195">
        <v>27</v>
      </c>
      <c r="J195">
        <v>0.1</v>
      </c>
      <c r="K195">
        <v>194.4</v>
      </c>
      <c r="L195">
        <v>62.45</v>
      </c>
      <c r="M195" t="s">
        <v>63</v>
      </c>
    </row>
    <row r="196" spans="1:13" x14ac:dyDescent="0.3">
      <c r="A196">
        <v>10195</v>
      </c>
      <c r="B196" t="s">
        <v>269</v>
      </c>
      <c r="C196" t="s">
        <v>238</v>
      </c>
      <c r="D196" t="s">
        <v>453</v>
      </c>
      <c r="E196" t="s">
        <v>74</v>
      </c>
      <c r="F196" t="s">
        <v>75</v>
      </c>
      <c r="G196" t="s">
        <v>76</v>
      </c>
      <c r="H196">
        <v>4</v>
      </c>
      <c r="I196">
        <v>22</v>
      </c>
      <c r="J196">
        <v>0.25</v>
      </c>
      <c r="K196">
        <v>66</v>
      </c>
      <c r="L196">
        <v>16.39</v>
      </c>
      <c r="M196" t="s">
        <v>63</v>
      </c>
    </row>
    <row r="197" spans="1:13" x14ac:dyDescent="0.3">
      <c r="A197">
        <v>10026</v>
      </c>
      <c r="B197" t="s">
        <v>225</v>
      </c>
      <c r="C197" t="s">
        <v>282</v>
      </c>
      <c r="D197" t="s">
        <v>464</v>
      </c>
      <c r="E197" t="s">
        <v>61</v>
      </c>
      <c r="F197" t="s">
        <v>50</v>
      </c>
      <c r="G197" t="s">
        <v>84</v>
      </c>
      <c r="H197">
        <v>1</v>
      </c>
      <c r="I197">
        <v>75.5</v>
      </c>
      <c r="J197">
        <v>0</v>
      </c>
      <c r="K197">
        <v>75.5</v>
      </c>
      <c r="L197">
        <v>13.1</v>
      </c>
      <c r="M197" t="s">
        <v>52</v>
      </c>
    </row>
    <row r="198" spans="1:13" x14ac:dyDescent="0.3">
      <c r="A198">
        <v>10219</v>
      </c>
      <c r="B198" t="s">
        <v>465</v>
      </c>
      <c r="C198" t="s">
        <v>466</v>
      </c>
      <c r="D198" t="s">
        <v>467</v>
      </c>
      <c r="E198" t="s">
        <v>91</v>
      </c>
      <c r="F198" t="s">
        <v>56</v>
      </c>
      <c r="G198" t="s">
        <v>149</v>
      </c>
      <c r="H198">
        <v>9</v>
      </c>
      <c r="I198">
        <v>42</v>
      </c>
      <c r="J198">
        <v>0.25</v>
      </c>
      <c r="K198">
        <v>283.5</v>
      </c>
      <c r="L198">
        <v>58.12</v>
      </c>
      <c r="M198" t="s">
        <v>63</v>
      </c>
    </row>
    <row r="199" spans="1:13" x14ac:dyDescent="0.3">
      <c r="A199">
        <v>10331</v>
      </c>
      <c r="B199" t="s">
        <v>468</v>
      </c>
      <c r="C199" t="s">
        <v>299</v>
      </c>
      <c r="D199" t="s">
        <v>469</v>
      </c>
      <c r="E199" t="s">
        <v>43</v>
      </c>
      <c r="F199" t="s">
        <v>56</v>
      </c>
      <c r="G199" t="s">
        <v>149</v>
      </c>
      <c r="H199">
        <v>4</v>
      </c>
      <c r="I199">
        <v>42</v>
      </c>
      <c r="J199">
        <v>0.1</v>
      </c>
      <c r="K199">
        <v>151.19999999999999</v>
      </c>
      <c r="L199">
        <v>30.88</v>
      </c>
      <c r="M199" t="s">
        <v>46</v>
      </c>
    </row>
    <row r="200" spans="1:13" x14ac:dyDescent="0.3">
      <c r="A200">
        <v>10329</v>
      </c>
      <c r="B200" t="s">
        <v>234</v>
      </c>
      <c r="C200" t="s">
        <v>78</v>
      </c>
      <c r="D200" t="s">
        <v>343</v>
      </c>
      <c r="E200" t="s">
        <v>125</v>
      </c>
      <c r="F200" t="s">
        <v>56</v>
      </c>
      <c r="G200" t="s">
        <v>366</v>
      </c>
      <c r="H200">
        <v>1</v>
      </c>
      <c r="I200">
        <v>38.5</v>
      </c>
      <c r="J200">
        <v>0</v>
      </c>
      <c r="K200">
        <v>38.5</v>
      </c>
      <c r="L200">
        <v>9.01</v>
      </c>
      <c r="M200" t="s">
        <v>63</v>
      </c>
    </row>
    <row r="201" spans="1:13" x14ac:dyDescent="0.3">
      <c r="A201">
        <v>10276</v>
      </c>
      <c r="B201" t="s">
        <v>470</v>
      </c>
      <c r="C201" t="s">
        <v>295</v>
      </c>
      <c r="D201" t="s">
        <v>471</v>
      </c>
      <c r="E201" t="s">
        <v>61</v>
      </c>
      <c r="F201" t="s">
        <v>44</v>
      </c>
      <c r="G201" t="s">
        <v>156</v>
      </c>
      <c r="H201">
        <v>2</v>
      </c>
      <c r="I201">
        <v>27</v>
      </c>
      <c r="J201">
        <v>0</v>
      </c>
      <c r="K201">
        <v>54</v>
      </c>
      <c r="L201">
        <v>16.62</v>
      </c>
      <c r="M201" t="s">
        <v>46</v>
      </c>
    </row>
    <row r="202" spans="1:13" x14ac:dyDescent="0.3">
      <c r="A202">
        <v>10310</v>
      </c>
      <c r="B202" t="s">
        <v>88</v>
      </c>
      <c r="C202" t="s">
        <v>472</v>
      </c>
      <c r="D202" t="s">
        <v>266</v>
      </c>
      <c r="E202" t="s">
        <v>61</v>
      </c>
      <c r="F202" t="s">
        <v>44</v>
      </c>
      <c r="G202" t="s">
        <v>156</v>
      </c>
      <c r="H202">
        <v>6</v>
      </c>
      <c r="I202">
        <v>27</v>
      </c>
      <c r="J202">
        <v>0</v>
      </c>
      <c r="K202">
        <v>162</v>
      </c>
      <c r="L202">
        <v>52.41</v>
      </c>
      <c r="M202" t="s">
        <v>46</v>
      </c>
    </row>
    <row r="203" spans="1:13" x14ac:dyDescent="0.3">
      <c r="A203">
        <v>10332</v>
      </c>
      <c r="B203" t="s">
        <v>107</v>
      </c>
      <c r="C203" t="s">
        <v>108</v>
      </c>
      <c r="D203" t="s">
        <v>109</v>
      </c>
      <c r="E203" t="s">
        <v>74</v>
      </c>
      <c r="F203" t="s">
        <v>56</v>
      </c>
      <c r="G203" t="s">
        <v>57</v>
      </c>
      <c r="H203">
        <v>4</v>
      </c>
      <c r="I203">
        <v>55</v>
      </c>
      <c r="J203">
        <v>0</v>
      </c>
      <c r="K203">
        <v>220</v>
      </c>
      <c r="L203">
        <v>54.84</v>
      </c>
      <c r="M203" t="s">
        <v>63</v>
      </c>
    </row>
    <row r="204" spans="1:13" x14ac:dyDescent="0.3">
      <c r="A204">
        <v>10178</v>
      </c>
      <c r="B204" t="s">
        <v>473</v>
      </c>
      <c r="C204" t="s">
        <v>138</v>
      </c>
      <c r="D204" t="s">
        <v>109</v>
      </c>
      <c r="E204" t="s">
        <v>43</v>
      </c>
      <c r="F204" t="s">
        <v>75</v>
      </c>
      <c r="G204" t="s">
        <v>95</v>
      </c>
      <c r="H204">
        <v>6</v>
      </c>
      <c r="I204">
        <v>18.75</v>
      </c>
      <c r="J204">
        <v>0</v>
      </c>
      <c r="K204">
        <v>112.5</v>
      </c>
      <c r="L204">
        <v>35.78</v>
      </c>
      <c r="M204" t="s">
        <v>46</v>
      </c>
    </row>
    <row r="205" spans="1:13" x14ac:dyDescent="0.3">
      <c r="A205">
        <v>10270</v>
      </c>
      <c r="B205" t="s">
        <v>298</v>
      </c>
      <c r="C205" t="s">
        <v>54</v>
      </c>
      <c r="D205" t="s">
        <v>474</v>
      </c>
      <c r="E205" t="s">
        <v>125</v>
      </c>
      <c r="F205" t="s">
        <v>56</v>
      </c>
      <c r="G205" t="s">
        <v>57</v>
      </c>
      <c r="H205">
        <v>5</v>
      </c>
      <c r="I205">
        <v>55</v>
      </c>
      <c r="J205">
        <v>0.25</v>
      </c>
      <c r="K205">
        <v>206.25</v>
      </c>
      <c r="L205">
        <v>51.74</v>
      </c>
      <c r="M205" t="s">
        <v>52</v>
      </c>
    </row>
    <row r="206" spans="1:13" x14ac:dyDescent="0.3">
      <c r="A206">
        <v>10040</v>
      </c>
      <c r="B206" t="s">
        <v>475</v>
      </c>
      <c r="C206" t="s">
        <v>59</v>
      </c>
      <c r="D206" t="s">
        <v>183</v>
      </c>
      <c r="E206" t="s">
        <v>61</v>
      </c>
      <c r="F206" t="s">
        <v>75</v>
      </c>
      <c r="G206" t="s">
        <v>202</v>
      </c>
      <c r="H206">
        <v>6</v>
      </c>
      <c r="I206">
        <v>34.5</v>
      </c>
      <c r="J206">
        <v>0.2</v>
      </c>
      <c r="K206">
        <v>165.6</v>
      </c>
      <c r="L206">
        <v>50.57</v>
      </c>
      <c r="M206" t="s">
        <v>63</v>
      </c>
    </row>
    <row r="207" spans="1:13" x14ac:dyDescent="0.3">
      <c r="A207">
        <v>10180</v>
      </c>
      <c r="B207" t="s">
        <v>100</v>
      </c>
      <c r="C207" t="s">
        <v>297</v>
      </c>
      <c r="D207" t="s">
        <v>198</v>
      </c>
      <c r="E207" t="s">
        <v>61</v>
      </c>
      <c r="F207" t="s">
        <v>44</v>
      </c>
      <c r="G207" t="s">
        <v>146</v>
      </c>
      <c r="H207">
        <v>8</v>
      </c>
      <c r="I207">
        <v>3.1</v>
      </c>
      <c r="J207">
        <v>0</v>
      </c>
      <c r="K207">
        <v>24.8</v>
      </c>
      <c r="L207">
        <v>8.8699999999999992</v>
      </c>
      <c r="M207" t="s">
        <v>52</v>
      </c>
    </row>
    <row r="208" spans="1:13" x14ac:dyDescent="0.3">
      <c r="A208">
        <v>10122</v>
      </c>
      <c r="B208" t="s">
        <v>281</v>
      </c>
      <c r="C208" t="s">
        <v>476</v>
      </c>
      <c r="D208" t="s">
        <v>259</v>
      </c>
      <c r="E208" t="s">
        <v>125</v>
      </c>
      <c r="F208" t="s">
        <v>50</v>
      </c>
      <c r="G208" t="s">
        <v>51</v>
      </c>
      <c r="H208">
        <v>6</v>
      </c>
      <c r="I208">
        <v>120</v>
      </c>
      <c r="J208">
        <v>0</v>
      </c>
      <c r="K208">
        <v>720</v>
      </c>
      <c r="L208">
        <v>140.82</v>
      </c>
      <c r="M208" t="s">
        <v>52</v>
      </c>
    </row>
    <row r="209" spans="1:13" x14ac:dyDescent="0.3">
      <c r="A209">
        <v>10065</v>
      </c>
      <c r="B209" t="s">
        <v>477</v>
      </c>
      <c r="C209" t="s">
        <v>376</v>
      </c>
      <c r="D209" t="s">
        <v>90</v>
      </c>
      <c r="E209" t="s">
        <v>74</v>
      </c>
      <c r="F209" t="s">
        <v>50</v>
      </c>
      <c r="G209" t="s">
        <v>99</v>
      </c>
      <c r="H209">
        <v>10</v>
      </c>
      <c r="I209">
        <v>15</v>
      </c>
      <c r="J209">
        <v>0</v>
      </c>
      <c r="K209">
        <v>150</v>
      </c>
      <c r="L209">
        <v>29.25</v>
      </c>
      <c r="M209" t="s">
        <v>63</v>
      </c>
    </row>
    <row r="210" spans="1:13" x14ac:dyDescent="0.3">
      <c r="A210">
        <v>10338</v>
      </c>
      <c r="B210" t="s">
        <v>478</v>
      </c>
      <c r="C210" t="s">
        <v>128</v>
      </c>
      <c r="D210" t="s">
        <v>479</v>
      </c>
      <c r="E210" t="s">
        <v>43</v>
      </c>
      <c r="F210" t="s">
        <v>75</v>
      </c>
      <c r="G210" t="s">
        <v>126</v>
      </c>
      <c r="H210">
        <v>4</v>
      </c>
      <c r="I210">
        <v>12.99</v>
      </c>
      <c r="J210">
        <v>0.25</v>
      </c>
      <c r="K210">
        <v>38.97</v>
      </c>
      <c r="L210">
        <v>11.92</v>
      </c>
      <c r="M210" t="s">
        <v>63</v>
      </c>
    </row>
    <row r="211" spans="1:13" x14ac:dyDescent="0.3">
      <c r="A211">
        <v>10312</v>
      </c>
      <c r="B211" t="s">
        <v>432</v>
      </c>
      <c r="C211" t="s">
        <v>385</v>
      </c>
      <c r="D211" t="s">
        <v>433</v>
      </c>
      <c r="E211" t="s">
        <v>74</v>
      </c>
      <c r="F211" t="s">
        <v>75</v>
      </c>
      <c r="G211" t="s">
        <v>202</v>
      </c>
      <c r="H211">
        <v>8</v>
      </c>
      <c r="I211">
        <v>34.5</v>
      </c>
      <c r="J211">
        <v>0.2</v>
      </c>
      <c r="K211">
        <v>220.8</v>
      </c>
      <c r="L211">
        <v>54.64</v>
      </c>
      <c r="M211" t="s">
        <v>63</v>
      </c>
    </row>
    <row r="212" spans="1:13" x14ac:dyDescent="0.3">
      <c r="A212">
        <v>10278</v>
      </c>
      <c r="B212" t="s">
        <v>480</v>
      </c>
      <c r="C212" t="s">
        <v>481</v>
      </c>
      <c r="D212" t="s">
        <v>482</v>
      </c>
      <c r="E212" t="s">
        <v>43</v>
      </c>
      <c r="F212" t="s">
        <v>56</v>
      </c>
      <c r="G212" t="s">
        <v>133</v>
      </c>
      <c r="H212">
        <v>5</v>
      </c>
      <c r="I212">
        <v>9.99</v>
      </c>
      <c r="J212">
        <v>0.2</v>
      </c>
      <c r="K212">
        <v>39.96</v>
      </c>
      <c r="L212">
        <v>9.9</v>
      </c>
      <c r="M212" t="s">
        <v>46</v>
      </c>
    </row>
    <row r="213" spans="1:13" x14ac:dyDescent="0.3">
      <c r="A213">
        <v>10346</v>
      </c>
      <c r="B213" t="s">
        <v>483</v>
      </c>
      <c r="C213" t="s">
        <v>484</v>
      </c>
      <c r="D213" t="s">
        <v>485</v>
      </c>
      <c r="E213" t="s">
        <v>125</v>
      </c>
      <c r="F213" t="s">
        <v>50</v>
      </c>
      <c r="G213" t="s">
        <v>51</v>
      </c>
      <c r="H213">
        <v>10</v>
      </c>
      <c r="I213">
        <v>120</v>
      </c>
      <c r="J213">
        <v>0.15</v>
      </c>
      <c r="K213">
        <v>1020</v>
      </c>
      <c r="L213">
        <v>200.47</v>
      </c>
      <c r="M213" t="s">
        <v>63</v>
      </c>
    </row>
    <row r="214" spans="1:13" x14ac:dyDescent="0.3">
      <c r="A214">
        <v>10107</v>
      </c>
      <c r="B214" t="s">
        <v>350</v>
      </c>
      <c r="C214" t="s">
        <v>486</v>
      </c>
      <c r="D214" t="s">
        <v>487</v>
      </c>
      <c r="E214" t="s">
        <v>125</v>
      </c>
      <c r="F214" t="s">
        <v>75</v>
      </c>
      <c r="G214" t="s">
        <v>95</v>
      </c>
      <c r="H214">
        <v>6</v>
      </c>
      <c r="I214">
        <v>18.75</v>
      </c>
      <c r="J214">
        <v>0.1</v>
      </c>
      <c r="K214">
        <v>101.25</v>
      </c>
      <c r="L214">
        <v>29.53</v>
      </c>
      <c r="M214" t="s">
        <v>52</v>
      </c>
    </row>
    <row r="215" spans="1:13" x14ac:dyDescent="0.3">
      <c r="A215">
        <v>10303</v>
      </c>
      <c r="B215" t="s">
        <v>184</v>
      </c>
      <c r="C215" t="s">
        <v>488</v>
      </c>
      <c r="D215" t="s">
        <v>148</v>
      </c>
      <c r="E215" t="s">
        <v>61</v>
      </c>
      <c r="F215" t="s">
        <v>50</v>
      </c>
      <c r="G215" t="s">
        <v>51</v>
      </c>
      <c r="H215">
        <v>5</v>
      </c>
      <c r="I215">
        <v>120</v>
      </c>
      <c r="J215">
        <v>0</v>
      </c>
      <c r="K215">
        <v>600</v>
      </c>
      <c r="L215">
        <v>120.13</v>
      </c>
      <c r="M215" t="s">
        <v>46</v>
      </c>
    </row>
    <row r="216" spans="1:13" x14ac:dyDescent="0.3">
      <c r="A216">
        <v>10273</v>
      </c>
      <c r="B216" t="s">
        <v>240</v>
      </c>
      <c r="C216" t="s">
        <v>372</v>
      </c>
      <c r="D216" t="s">
        <v>277</v>
      </c>
      <c r="E216" t="s">
        <v>125</v>
      </c>
      <c r="F216" t="s">
        <v>44</v>
      </c>
      <c r="G216" t="s">
        <v>45</v>
      </c>
      <c r="H216">
        <v>5</v>
      </c>
      <c r="I216">
        <v>4.25</v>
      </c>
      <c r="J216">
        <v>0</v>
      </c>
      <c r="K216">
        <v>21.25</v>
      </c>
      <c r="L216">
        <v>7.92</v>
      </c>
      <c r="M216" t="s">
        <v>52</v>
      </c>
    </row>
    <row r="217" spans="1:13" x14ac:dyDescent="0.3">
      <c r="A217">
        <v>10289</v>
      </c>
      <c r="B217" t="s">
        <v>489</v>
      </c>
      <c r="C217" t="s">
        <v>104</v>
      </c>
      <c r="D217" t="s">
        <v>175</v>
      </c>
      <c r="E217" t="s">
        <v>43</v>
      </c>
      <c r="F217" t="s">
        <v>44</v>
      </c>
      <c r="G217" t="s">
        <v>67</v>
      </c>
      <c r="H217">
        <v>8</v>
      </c>
      <c r="I217">
        <v>5.5</v>
      </c>
      <c r="J217">
        <v>0</v>
      </c>
      <c r="K217">
        <v>44</v>
      </c>
      <c r="L217">
        <v>13.99</v>
      </c>
      <c r="M217" t="s">
        <v>46</v>
      </c>
    </row>
    <row r="218" spans="1:13" x14ac:dyDescent="0.3">
      <c r="A218">
        <v>10239</v>
      </c>
      <c r="B218" t="s">
        <v>401</v>
      </c>
      <c r="C218" t="s">
        <v>340</v>
      </c>
      <c r="D218" t="s">
        <v>490</v>
      </c>
      <c r="F218" t="s">
        <v>56</v>
      </c>
      <c r="G218" t="s">
        <v>217</v>
      </c>
      <c r="H218">
        <v>6</v>
      </c>
      <c r="I218">
        <v>8</v>
      </c>
      <c r="J218">
        <v>0.2</v>
      </c>
      <c r="K218">
        <v>38.4</v>
      </c>
      <c r="L218">
        <v>8.2200000000000006</v>
      </c>
      <c r="M218" t="s">
        <v>63</v>
      </c>
    </row>
    <row r="219" spans="1:13" x14ac:dyDescent="0.3">
      <c r="A219">
        <v>10210</v>
      </c>
      <c r="B219" t="s">
        <v>491</v>
      </c>
      <c r="C219" t="s">
        <v>406</v>
      </c>
      <c r="D219" t="s">
        <v>183</v>
      </c>
      <c r="E219" t="s">
        <v>91</v>
      </c>
      <c r="F219" t="s">
        <v>44</v>
      </c>
      <c r="G219" t="s">
        <v>146</v>
      </c>
      <c r="H219">
        <v>10</v>
      </c>
      <c r="I219">
        <v>3.1</v>
      </c>
      <c r="J219">
        <v>0.25</v>
      </c>
      <c r="K219">
        <v>23.25</v>
      </c>
      <c r="L219">
        <v>7.39</v>
      </c>
      <c r="M219" t="s">
        <v>46</v>
      </c>
    </row>
    <row r="220" spans="1:13" x14ac:dyDescent="0.3">
      <c r="A220">
        <v>10168</v>
      </c>
      <c r="B220" t="s">
        <v>323</v>
      </c>
      <c r="C220" t="s">
        <v>179</v>
      </c>
      <c r="D220" t="s">
        <v>379</v>
      </c>
      <c r="E220" t="s">
        <v>125</v>
      </c>
      <c r="F220" t="s">
        <v>44</v>
      </c>
      <c r="G220" t="s">
        <v>156</v>
      </c>
      <c r="H220">
        <v>1</v>
      </c>
      <c r="I220">
        <v>27</v>
      </c>
      <c r="J220">
        <v>0.15</v>
      </c>
      <c r="K220">
        <v>22.95</v>
      </c>
      <c r="L220">
        <v>7.41</v>
      </c>
      <c r="M220" t="s">
        <v>46</v>
      </c>
    </row>
    <row r="221" spans="1:13" x14ac:dyDescent="0.3">
      <c r="A221">
        <v>10319</v>
      </c>
      <c r="B221" t="s">
        <v>390</v>
      </c>
      <c r="C221" t="s">
        <v>403</v>
      </c>
      <c r="D221" t="s">
        <v>148</v>
      </c>
      <c r="E221" t="s">
        <v>74</v>
      </c>
      <c r="F221" t="s">
        <v>44</v>
      </c>
      <c r="G221" t="s">
        <v>45</v>
      </c>
      <c r="H221">
        <v>6</v>
      </c>
      <c r="I221">
        <v>4.25</v>
      </c>
      <c r="J221">
        <v>0</v>
      </c>
      <c r="K221">
        <v>25.5</v>
      </c>
      <c r="L221">
        <v>9.59</v>
      </c>
      <c r="M221" t="s">
        <v>63</v>
      </c>
    </row>
    <row r="222" spans="1:13" x14ac:dyDescent="0.3">
      <c r="A222">
        <v>10341</v>
      </c>
      <c r="B222" t="s">
        <v>492</v>
      </c>
      <c r="C222" t="s">
        <v>260</v>
      </c>
      <c r="D222" t="s">
        <v>404</v>
      </c>
      <c r="E222" t="s">
        <v>91</v>
      </c>
      <c r="F222" t="s">
        <v>50</v>
      </c>
      <c r="G222" t="s">
        <v>62</v>
      </c>
      <c r="H222">
        <v>8</v>
      </c>
      <c r="I222">
        <v>65</v>
      </c>
      <c r="J222">
        <v>0.2</v>
      </c>
      <c r="K222">
        <v>416</v>
      </c>
      <c r="L222">
        <v>83.48</v>
      </c>
      <c r="M222" t="s">
        <v>63</v>
      </c>
    </row>
    <row r="223" spans="1:13" x14ac:dyDescent="0.3">
      <c r="A223">
        <v>10222</v>
      </c>
      <c r="B223" t="s">
        <v>493</v>
      </c>
      <c r="C223" t="s">
        <v>494</v>
      </c>
      <c r="D223" t="s">
        <v>495</v>
      </c>
      <c r="E223" t="s">
        <v>74</v>
      </c>
      <c r="F223" t="s">
        <v>50</v>
      </c>
      <c r="G223" t="s">
        <v>80</v>
      </c>
      <c r="H223">
        <v>5</v>
      </c>
      <c r="I223">
        <v>89</v>
      </c>
      <c r="J223">
        <v>0.2</v>
      </c>
      <c r="K223">
        <v>356</v>
      </c>
      <c r="L223">
        <v>59</v>
      </c>
      <c r="M223" t="s">
        <v>52</v>
      </c>
    </row>
    <row r="224" spans="1:13" x14ac:dyDescent="0.3">
      <c r="A224">
        <v>10263</v>
      </c>
      <c r="B224" t="s">
        <v>96</v>
      </c>
      <c r="C224" t="s">
        <v>367</v>
      </c>
      <c r="D224" t="s">
        <v>420</v>
      </c>
      <c r="E224" t="s">
        <v>43</v>
      </c>
      <c r="F224" t="s">
        <v>44</v>
      </c>
      <c r="G224" t="s">
        <v>156</v>
      </c>
      <c r="H224">
        <v>6</v>
      </c>
      <c r="I224">
        <v>27</v>
      </c>
      <c r="J224">
        <v>0.1</v>
      </c>
      <c r="K224">
        <v>145.80000000000001</v>
      </c>
      <c r="L224">
        <v>44.94</v>
      </c>
      <c r="M224" t="s">
        <v>52</v>
      </c>
    </row>
    <row r="225" spans="1:13" x14ac:dyDescent="0.3">
      <c r="A225">
        <v>10013</v>
      </c>
      <c r="B225" t="s">
        <v>496</v>
      </c>
      <c r="C225" t="s">
        <v>197</v>
      </c>
      <c r="D225" t="s">
        <v>201</v>
      </c>
      <c r="E225" t="s">
        <v>91</v>
      </c>
      <c r="F225" t="s">
        <v>44</v>
      </c>
      <c r="G225" t="s">
        <v>106</v>
      </c>
      <c r="H225">
        <v>1</v>
      </c>
      <c r="I225">
        <v>6.75</v>
      </c>
      <c r="J225">
        <v>0</v>
      </c>
      <c r="K225">
        <v>6.75</v>
      </c>
      <c r="L225">
        <v>2.4900000000000002</v>
      </c>
      <c r="M225" t="s">
        <v>46</v>
      </c>
    </row>
    <row r="226" spans="1:13" x14ac:dyDescent="0.3">
      <c r="A226">
        <v>10279</v>
      </c>
      <c r="B226" t="s">
        <v>300</v>
      </c>
      <c r="C226" t="s">
        <v>188</v>
      </c>
      <c r="D226" t="s">
        <v>136</v>
      </c>
      <c r="E226" t="s">
        <v>74</v>
      </c>
      <c r="F226" t="s">
        <v>44</v>
      </c>
      <c r="G226" t="s">
        <v>146</v>
      </c>
      <c r="H226">
        <v>8</v>
      </c>
      <c r="I226">
        <v>3.1</v>
      </c>
      <c r="J226">
        <v>0.05</v>
      </c>
      <c r="K226">
        <v>23.56</v>
      </c>
      <c r="L226">
        <v>8.3000000000000007</v>
      </c>
      <c r="M226" t="s">
        <v>63</v>
      </c>
    </row>
    <row r="227" spans="1:13" x14ac:dyDescent="0.3">
      <c r="A227">
        <v>10137</v>
      </c>
      <c r="B227" t="s">
        <v>497</v>
      </c>
      <c r="C227" t="s">
        <v>498</v>
      </c>
      <c r="D227" t="s">
        <v>499</v>
      </c>
      <c r="E227" t="s">
        <v>74</v>
      </c>
      <c r="F227" t="s">
        <v>75</v>
      </c>
      <c r="G227" t="s">
        <v>126</v>
      </c>
      <c r="H227">
        <v>3</v>
      </c>
      <c r="I227">
        <v>12.99</v>
      </c>
      <c r="J227">
        <v>0</v>
      </c>
      <c r="K227">
        <v>38.97</v>
      </c>
      <c r="L227">
        <v>11.74</v>
      </c>
      <c r="M227" t="s">
        <v>52</v>
      </c>
    </row>
    <row r="228" spans="1:13" x14ac:dyDescent="0.3">
      <c r="A228">
        <v>10198</v>
      </c>
      <c r="B228" t="s">
        <v>96</v>
      </c>
      <c r="C228" t="s">
        <v>97</v>
      </c>
      <c r="D228" t="s">
        <v>331</v>
      </c>
      <c r="E228" t="s">
        <v>61</v>
      </c>
      <c r="F228" t="s">
        <v>56</v>
      </c>
      <c r="G228" t="s">
        <v>149</v>
      </c>
      <c r="H228">
        <v>4</v>
      </c>
      <c r="I228">
        <v>42</v>
      </c>
      <c r="J228">
        <v>0.15</v>
      </c>
      <c r="K228">
        <v>142.80000000000001</v>
      </c>
      <c r="L228">
        <v>27.16</v>
      </c>
      <c r="M228" t="s">
        <v>46</v>
      </c>
    </row>
    <row r="229" spans="1:13" x14ac:dyDescent="0.3">
      <c r="A229">
        <v>10354</v>
      </c>
      <c r="B229" t="s">
        <v>500</v>
      </c>
      <c r="C229" t="s">
        <v>428</v>
      </c>
      <c r="D229" t="s">
        <v>501</v>
      </c>
      <c r="E229" t="s">
        <v>125</v>
      </c>
      <c r="F229" t="s">
        <v>75</v>
      </c>
      <c r="G229" t="s">
        <v>76</v>
      </c>
      <c r="H229">
        <v>8</v>
      </c>
      <c r="I229">
        <v>22</v>
      </c>
      <c r="J229">
        <v>0</v>
      </c>
      <c r="K229">
        <v>176</v>
      </c>
      <c r="L229">
        <v>45.81</v>
      </c>
      <c r="M229" t="s">
        <v>52</v>
      </c>
    </row>
    <row r="230" spans="1:13" x14ac:dyDescent="0.3">
      <c r="A230">
        <v>10308</v>
      </c>
      <c r="B230" t="s">
        <v>502</v>
      </c>
      <c r="C230" t="s">
        <v>503</v>
      </c>
      <c r="D230" t="s">
        <v>162</v>
      </c>
      <c r="E230" t="s">
        <v>125</v>
      </c>
      <c r="F230" t="s">
        <v>75</v>
      </c>
      <c r="G230" t="s">
        <v>303</v>
      </c>
      <c r="H230">
        <v>10</v>
      </c>
      <c r="I230">
        <v>29.99</v>
      </c>
      <c r="J230">
        <v>0</v>
      </c>
      <c r="K230">
        <v>299.89999999999998</v>
      </c>
      <c r="L230">
        <v>86.75</v>
      </c>
      <c r="M230" t="s">
        <v>52</v>
      </c>
    </row>
    <row r="231" spans="1:13" x14ac:dyDescent="0.3">
      <c r="A231">
        <v>10225</v>
      </c>
      <c r="B231" t="s">
        <v>100</v>
      </c>
      <c r="C231" t="s">
        <v>393</v>
      </c>
      <c r="D231" t="s">
        <v>504</v>
      </c>
      <c r="E231" t="s">
        <v>61</v>
      </c>
      <c r="F231" t="s">
        <v>44</v>
      </c>
      <c r="G231" t="s">
        <v>156</v>
      </c>
      <c r="H231">
        <v>9</v>
      </c>
      <c r="I231">
        <v>27</v>
      </c>
      <c r="J231">
        <v>0.25</v>
      </c>
      <c r="K231">
        <v>182.25</v>
      </c>
      <c r="L231">
        <v>68.709999999999994</v>
      </c>
      <c r="M231" t="s">
        <v>46</v>
      </c>
    </row>
    <row r="232" spans="1:13" x14ac:dyDescent="0.3">
      <c r="A232">
        <v>10097</v>
      </c>
      <c r="B232" t="s">
        <v>354</v>
      </c>
      <c r="C232" t="s">
        <v>172</v>
      </c>
      <c r="D232" t="s">
        <v>505</v>
      </c>
      <c r="E232" t="s">
        <v>74</v>
      </c>
      <c r="F232" t="s">
        <v>75</v>
      </c>
      <c r="G232" t="s">
        <v>76</v>
      </c>
      <c r="H232">
        <v>5</v>
      </c>
      <c r="I232">
        <v>22</v>
      </c>
      <c r="J232">
        <v>0.25</v>
      </c>
      <c r="K232">
        <v>82.5</v>
      </c>
      <c r="L232">
        <v>25.63</v>
      </c>
      <c r="M232" t="s">
        <v>52</v>
      </c>
    </row>
    <row r="233" spans="1:13" x14ac:dyDescent="0.3">
      <c r="A233">
        <v>10277</v>
      </c>
      <c r="B233" t="s">
        <v>506</v>
      </c>
      <c r="C233" t="s">
        <v>419</v>
      </c>
      <c r="D233" t="s">
        <v>455</v>
      </c>
      <c r="E233" t="s">
        <v>91</v>
      </c>
      <c r="F233" t="s">
        <v>50</v>
      </c>
      <c r="G233" t="s">
        <v>84</v>
      </c>
      <c r="H233">
        <v>6</v>
      </c>
      <c r="I233">
        <v>75.5</v>
      </c>
      <c r="J233">
        <v>0.2</v>
      </c>
      <c r="K233">
        <v>362.4</v>
      </c>
      <c r="L233">
        <v>64.510000000000005</v>
      </c>
      <c r="M233" t="s">
        <v>63</v>
      </c>
    </row>
    <row r="234" spans="1:13" x14ac:dyDescent="0.3">
      <c r="A234">
        <v>10203</v>
      </c>
      <c r="B234" t="s">
        <v>507</v>
      </c>
      <c r="C234" t="s">
        <v>364</v>
      </c>
      <c r="D234" t="s">
        <v>508</v>
      </c>
      <c r="E234" t="s">
        <v>61</v>
      </c>
      <c r="F234" t="s">
        <v>56</v>
      </c>
      <c r="G234" t="s">
        <v>149</v>
      </c>
      <c r="H234">
        <v>10</v>
      </c>
      <c r="I234">
        <v>42</v>
      </c>
      <c r="J234">
        <v>0</v>
      </c>
      <c r="K234">
        <v>420</v>
      </c>
      <c r="L234">
        <v>87.63</v>
      </c>
      <c r="M234" t="s">
        <v>63</v>
      </c>
    </row>
    <row r="235" spans="1:13" x14ac:dyDescent="0.3">
      <c r="A235">
        <v>10167</v>
      </c>
      <c r="B235" t="s">
        <v>243</v>
      </c>
      <c r="C235" t="s">
        <v>245</v>
      </c>
      <c r="D235" t="s">
        <v>509</v>
      </c>
      <c r="E235" t="s">
        <v>91</v>
      </c>
      <c r="F235" t="s">
        <v>56</v>
      </c>
      <c r="G235" t="s">
        <v>133</v>
      </c>
      <c r="H235">
        <v>2</v>
      </c>
      <c r="I235">
        <v>9.99</v>
      </c>
      <c r="J235">
        <v>0.25</v>
      </c>
      <c r="K235">
        <v>14.98</v>
      </c>
      <c r="L235">
        <v>3.39</v>
      </c>
      <c r="M235" t="s">
        <v>46</v>
      </c>
    </row>
    <row r="236" spans="1:13" x14ac:dyDescent="0.3">
      <c r="A236">
        <v>10183</v>
      </c>
      <c r="B236" t="s">
        <v>510</v>
      </c>
      <c r="C236" t="s">
        <v>200</v>
      </c>
      <c r="D236" t="s">
        <v>115</v>
      </c>
      <c r="E236" t="s">
        <v>43</v>
      </c>
      <c r="F236" t="s">
        <v>56</v>
      </c>
      <c r="G236" t="s">
        <v>149</v>
      </c>
      <c r="H236">
        <v>8</v>
      </c>
      <c r="I236">
        <v>42</v>
      </c>
      <c r="J236">
        <v>0</v>
      </c>
      <c r="K236">
        <v>336</v>
      </c>
      <c r="L236">
        <v>80.81</v>
      </c>
      <c r="M236" t="s">
        <v>46</v>
      </c>
    </row>
    <row r="237" spans="1:13" x14ac:dyDescent="0.3">
      <c r="A237">
        <v>10351</v>
      </c>
      <c r="B237" t="s">
        <v>511</v>
      </c>
      <c r="C237" t="s">
        <v>430</v>
      </c>
      <c r="D237" t="s">
        <v>512</v>
      </c>
      <c r="E237" t="s">
        <v>61</v>
      </c>
      <c r="F237" t="s">
        <v>44</v>
      </c>
      <c r="G237" t="s">
        <v>45</v>
      </c>
      <c r="H237">
        <v>9</v>
      </c>
      <c r="I237">
        <v>4.25</v>
      </c>
      <c r="J237">
        <v>0.15</v>
      </c>
      <c r="K237">
        <v>32.51</v>
      </c>
      <c r="L237">
        <v>10.43</v>
      </c>
      <c r="M237" t="s">
        <v>52</v>
      </c>
    </row>
    <row r="238" spans="1:13" x14ac:dyDescent="0.3">
      <c r="A238">
        <v>10032</v>
      </c>
      <c r="B238" t="s">
        <v>113</v>
      </c>
      <c r="C238" t="s">
        <v>108</v>
      </c>
      <c r="D238" t="s">
        <v>314</v>
      </c>
      <c r="E238" t="s">
        <v>43</v>
      </c>
      <c r="F238" t="s">
        <v>56</v>
      </c>
      <c r="G238" t="s">
        <v>217</v>
      </c>
      <c r="H238">
        <v>10</v>
      </c>
      <c r="I238">
        <v>8</v>
      </c>
      <c r="J238">
        <v>0</v>
      </c>
      <c r="K238">
        <v>80</v>
      </c>
      <c r="L238">
        <v>15.35</v>
      </c>
      <c r="M238" t="s">
        <v>52</v>
      </c>
    </row>
    <row r="239" spans="1:13" x14ac:dyDescent="0.3">
      <c r="A239">
        <v>10044</v>
      </c>
      <c r="B239" t="s">
        <v>157</v>
      </c>
      <c r="C239" t="s">
        <v>410</v>
      </c>
      <c r="D239" t="s">
        <v>469</v>
      </c>
      <c r="E239" t="s">
        <v>43</v>
      </c>
      <c r="F239" t="s">
        <v>75</v>
      </c>
      <c r="G239" t="s">
        <v>303</v>
      </c>
      <c r="H239">
        <v>7</v>
      </c>
      <c r="I239">
        <v>29.99</v>
      </c>
      <c r="J239">
        <v>0.15</v>
      </c>
      <c r="K239">
        <v>178.44</v>
      </c>
      <c r="L239">
        <v>53.39</v>
      </c>
      <c r="M239" t="s">
        <v>46</v>
      </c>
    </row>
    <row r="240" spans="1:13" x14ac:dyDescent="0.3">
      <c r="A240">
        <v>10130</v>
      </c>
      <c r="B240" t="s">
        <v>513</v>
      </c>
      <c r="C240" t="s">
        <v>280</v>
      </c>
      <c r="D240" t="s">
        <v>341</v>
      </c>
      <c r="F240" t="s">
        <v>56</v>
      </c>
      <c r="G240" t="s">
        <v>57</v>
      </c>
      <c r="H240">
        <v>5</v>
      </c>
      <c r="I240">
        <v>55</v>
      </c>
      <c r="J240">
        <v>0.15</v>
      </c>
      <c r="K240">
        <v>233.75</v>
      </c>
      <c r="L240">
        <v>58.42</v>
      </c>
      <c r="M240" t="s">
        <v>63</v>
      </c>
    </row>
    <row r="241" spans="1:13" x14ac:dyDescent="0.3">
      <c r="A241">
        <v>10360</v>
      </c>
      <c r="B241" t="s">
        <v>278</v>
      </c>
      <c r="C241" t="s">
        <v>406</v>
      </c>
      <c r="D241" t="s">
        <v>455</v>
      </c>
      <c r="E241" t="s">
        <v>74</v>
      </c>
      <c r="F241" t="s">
        <v>44</v>
      </c>
      <c r="G241" t="s">
        <v>146</v>
      </c>
      <c r="H241">
        <v>4</v>
      </c>
      <c r="I241">
        <v>3.1</v>
      </c>
      <c r="J241">
        <v>0</v>
      </c>
      <c r="K241">
        <v>12.4</v>
      </c>
      <c r="L241">
        <v>3.75</v>
      </c>
      <c r="M241" t="s">
        <v>52</v>
      </c>
    </row>
    <row r="242" spans="1:13" x14ac:dyDescent="0.3">
      <c r="A242">
        <v>10006</v>
      </c>
      <c r="B242" t="s">
        <v>514</v>
      </c>
      <c r="C242" t="s">
        <v>378</v>
      </c>
      <c r="D242" t="s">
        <v>183</v>
      </c>
      <c r="E242" t="s">
        <v>91</v>
      </c>
      <c r="F242" t="s">
        <v>44</v>
      </c>
      <c r="G242" t="s">
        <v>106</v>
      </c>
      <c r="H242">
        <v>4</v>
      </c>
      <c r="I242">
        <v>6.75</v>
      </c>
      <c r="J242">
        <v>0</v>
      </c>
      <c r="K242">
        <v>27</v>
      </c>
      <c r="L242">
        <v>8.16</v>
      </c>
      <c r="M242" t="s">
        <v>63</v>
      </c>
    </row>
    <row r="243" spans="1:13" x14ac:dyDescent="0.3">
      <c r="A243">
        <v>10188</v>
      </c>
      <c r="B243" t="s">
        <v>207</v>
      </c>
      <c r="C243" t="s">
        <v>128</v>
      </c>
      <c r="D243" t="s">
        <v>515</v>
      </c>
      <c r="E243" t="s">
        <v>91</v>
      </c>
      <c r="F243" t="s">
        <v>50</v>
      </c>
      <c r="G243" t="s">
        <v>51</v>
      </c>
      <c r="H243">
        <v>7</v>
      </c>
      <c r="I243">
        <v>120</v>
      </c>
      <c r="J243">
        <v>0</v>
      </c>
      <c r="K243">
        <v>840</v>
      </c>
      <c r="L243">
        <v>166.23</v>
      </c>
      <c r="M243" t="s">
        <v>52</v>
      </c>
    </row>
    <row r="244" spans="1:13" x14ac:dyDescent="0.3">
      <c r="A244">
        <v>10055</v>
      </c>
      <c r="B244" t="s">
        <v>516</v>
      </c>
      <c r="C244" t="s">
        <v>177</v>
      </c>
      <c r="D244" t="s">
        <v>517</v>
      </c>
      <c r="E244" t="s">
        <v>61</v>
      </c>
      <c r="F244" t="s">
        <v>44</v>
      </c>
      <c r="G244" t="s">
        <v>45</v>
      </c>
      <c r="H244">
        <v>5</v>
      </c>
      <c r="I244">
        <v>4.25</v>
      </c>
      <c r="J244">
        <v>0.25</v>
      </c>
      <c r="K244">
        <v>15.94</v>
      </c>
      <c r="L244">
        <v>5.79</v>
      </c>
      <c r="M244" t="s">
        <v>63</v>
      </c>
    </row>
    <row r="245" spans="1:13" x14ac:dyDescent="0.3">
      <c r="A245">
        <v>10330</v>
      </c>
      <c r="B245" t="s">
        <v>191</v>
      </c>
      <c r="C245" t="s">
        <v>297</v>
      </c>
      <c r="D245" t="s">
        <v>277</v>
      </c>
      <c r="E245" t="s">
        <v>61</v>
      </c>
      <c r="F245" t="s">
        <v>44</v>
      </c>
      <c r="G245" t="s">
        <v>156</v>
      </c>
      <c r="H245">
        <v>2</v>
      </c>
      <c r="I245">
        <v>27</v>
      </c>
      <c r="J245">
        <v>0</v>
      </c>
      <c r="K245">
        <v>54</v>
      </c>
      <c r="L245">
        <v>18.93</v>
      </c>
      <c r="M245" t="s">
        <v>46</v>
      </c>
    </row>
    <row r="246" spans="1:13" x14ac:dyDescent="0.3">
      <c r="A246">
        <v>10187</v>
      </c>
      <c r="B246" t="s">
        <v>518</v>
      </c>
      <c r="C246" t="s">
        <v>519</v>
      </c>
      <c r="D246" t="s">
        <v>198</v>
      </c>
      <c r="E246" t="s">
        <v>91</v>
      </c>
      <c r="F246" t="s">
        <v>75</v>
      </c>
      <c r="G246" t="s">
        <v>202</v>
      </c>
      <c r="H246">
        <v>6</v>
      </c>
      <c r="I246">
        <v>34.5</v>
      </c>
      <c r="J246">
        <v>0</v>
      </c>
      <c r="K246">
        <v>207</v>
      </c>
      <c r="L246">
        <v>57.09</v>
      </c>
      <c r="M246" t="s">
        <v>63</v>
      </c>
    </row>
    <row r="247" spans="1:13" x14ac:dyDescent="0.3">
      <c r="A247">
        <v>10058</v>
      </c>
      <c r="B247" t="s">
        <v>520</v>
      </c>
      <c r="C247" t="s">
        <v>521</v>
      </c>
      <c r="D247" t="s">
        <v>253</v>
      </c>
      <c r="E247" t="s">
        <v>61</v>
      </c>
      <c r="F247" t="s">
        <v>75</v>
      </c>
      <c r="G247" t="s">
        <v>303</v>
      </c>
      <c r="H247">
        <v>7</v>
      </c>
      <c r="I247">
        <v>29.99</v>
      </c>
      <c r="J247">
        <v>0.25</v>
      </c>
      <c r="K247">
        <v>157.44999999999999</v>
      </c>
      <c r="L247">
        <v>37.549999999999997</v>
      </c>
      <c r="M247" t="s">
        <v>52</v>
      </c>
    </row>
    <row r="248" spans="1:13" x14ac:dyDescent="0.3">
      <c r="A248">
        <v>10059</v>
      </c>
      <c r="B248" t="s">
        <v>522</v>
      </c>
      <c r="C248" t="s">
        <v>161</v>
      </c>
      <c r="D248" t="s">
        <v>523</v>
      </c>
      <c r="E248" t="s">
        <v>91</v>
      </c>
      <c r="F248" t="s">
        <v>50</v>
      </c>
      <c r="G248" t="s">
        <v>84</v>
      </c>
      <c r="H248">
        <v>4</v>
      </c>
      <c r="I248">
        <v>75.5</v>
      </c>
      <c r="J248">
        <v>0.1</v>
      </c>
      <c r="K248">
        <v>271.8</v>
      </c>
      <c r="L248">
        <v>47.98</v>
      </c>
      <c r="M248" t="s">
        <v>52</v>
      </c>
    </row>
    <row r="249" spans="1:13" x14ac:dyDescent="0.3">
      <c r="A249">
        <v>10005</v>
      </c>
      <c r="B249" t="s">
        <v>480</v>
      </c>
      <c r="C249" t="s">
        <v>164</v>
      </c>
      <c r="D249" t="s">
        <v>277</v>
      </c>
      <c r="E249" t="s">
        <v>91</v>
      </c>
      <c r="F249" t="s">
        <v>44</v>
      </c>
      <c r="G249" t="s">
        <v>67</v>
      </c>
      <c r="H249">
        <v>8</v>
      </c>
      <c r="I249">
        <v>5.5</v>
      </c>
      <c r="J249">
        <v>0</v>
      </c>
      <c r="K249">
        <v>44</v>
      </c>
      <c r="L249">
        <v>17.59</v>
      </c>
      <c r="M249" t="s">
        <v>46</v>
      </c>
    </row>
    <row r="250" spans="1:13" x14ac:dyDescent="0.3">
      <c r="A250">
        <v>10104</v>
      </c>
      <c r="B250" t="s">
        <v>524</v>
      </c>
      <c r="C250" t="s">
        <v>360</v>
      </c>
      <c r="D250" t="s">
        <v>362</v>
      </c>
      <c r="E250" t="s">
        <v>74</v>
      </c>
      <c r="F250" t="s">
        <v>44</v>
      </c>
      <c r="G250" t="s">
        <v>146</v>
      </c>
      <c r="H250">
        <v>7</v>
      </c>
      <c r="I250">
        <v>3.1</v>
      </c>
      <c r="J250">
        <v>0</v>
      </c>
      <c r="K250">
        <v>21.7</v>
      </c>
      <c r="L250">
        <v>7.01</v>
      </c>
      <c r="M250" t="s">
        <v>46</v>
      </c>
    </row>
    <row r="251" spans="1:13" x14ac:dyDescent="0.3">
      <c r="A251">
        <v>10334</v>
      </c>
      <c r="B251" t="s">
        <v>116</v>
      </c>
      <c r="C251" t="s">
        <v>117</v>
      </c>
      <c r="D251" t="s">
        <v>118</v>
      </c>
      <c r="E251" t="s">
        <v>74</v>
      </c>
      <c r="F251" t="s">
        <v>56</v>
      </c>
      <c r="G251" t="s">
        <v>57</v>
      </c>
      <c r="H251">
        <v>2</v>
      </c>
      <c r="I251">
        <v>55</v>
      </c>
      <c r="J251">
        <v>0</v>
      </c>
      <c r="K251">
        <v>110</v>
      </c>
      <c r="L251">
        <v>21.71</v>
      </c>
      <c r="M251" t="s">
        <v>63</v>
      </c>
    </row>
    <row r="252" spans="1:13" x14ac:dyDescent="0.3">
      <c r="A252">
        <v>10236</v>
      </c>
      <c r="B252" t="s">
        <v>525</v>
      </c>
      <c r="C252" t="s">
        <v>526</v>
      </c>
      <c r="E252" t="s">
        <v>61</v>
      </c>
      <c r="F252" t="s">
        <v>56</v>
      </c>
      <c r="G252" t="s">
        <v>149</v>
      </c>
      <c r="H252">
        <v>9</v>
      </c>
      <c r="I252">
        <v>42</v>
      </c>
      <c r="J252">
        <v>0.05</v>
      </c>
      <c r="K252">
        <v>359.1</v>
      </c>
      <c r="L252">
        <v>85.03</v>
      </c>
      <c r="M252" t="s">
        <v>46</v>
      </c>
    </row>
    <row r="253" spans="1:13" x14ac:dyDescent="0.3">
      <c r="A253">
        <v>10233</v>
      </c>
      <c r="B253" t="s">
        <v>527</v>
      </c>
      <c r="C253" t="s">
        <v>210</v>
      </c>
      <c r="D253" t="s">
        <v>279</v>
      </c>
      <c r="E253" t="s">
        <v>43</v>
      </c>
      <c r="F253" t="s">
        <v>75</v>
      </c>
      <c r="G253" t="s">
        <v>76</v>
      </c>
      <c r="H253">
        <v>8</v>
      </c>
      <c r="I253">
        <v>22</v>
      </c>
      <c r="J253">
        <v>0.2</v>
      </c>
      <c r="K253">
        <v>140.80000000000001</v>
      </c>
      <c r="L253">
        <v>39.799999999999997</v>
      </c>
      <c r="M253" t="s">
        <v>52</v>
      </c>
    </row>
    <row r="254" spans="1:13" x14ac:dyDescent="0.3">
      <c r="A254">
        <v>10243</v>
      </c>
      <c r="B254" t="s">
        <v>309</v>
      </c>
      <c r="C254" t="s">
        <v>310</v>
      </c>
      <c r="D254" t="s">
        <v>311</v>
      </c>
      <c r="E254" t="s">
        <v>91</v>
      </c>
      <c r="F254" t="s">
        <v>50</v>
      </c>
      <c r="G254" t="s">
        <v>84</v>
      </c>
      <c r="H254">
        <v>4</v>
      </c>
      <c r="I254">
        <v>75.5</v>
      </c>
      <c r="J254">
        <v>0.15</v>
      </c>
      <c r="K254">
        <v>256.7</v>
      </c>
      <c r="L254">
        <v>43.48</v>
      </c>
      <c r="M254" t="s">
        <v>63</v>
      </c>
    </row>
    <row r="255" spans="1:13" x14ac:dyDescent="0.3">
      <c r="A255">
        <v>10043</v>
      </c>
      <c r="B255" t="s">
        <v>465</v>
      </c>
      <c r="C255" t="s">
        <v>236</v>
      </c>
      <c r="D255" t="s">
        <v>528</v>
      </c>
      <c r="E255" t="s">
        <v>91</v>
      </c>
      <c r="F255" t="s">
        <v>56</v>
      </c>
      <c r="G255" t="s">
        <v>217</v>
      </c>
      <c r="H255">
        <v>6</v>
      </c>
      <c r="I255">
        <v>8</v>
      </c>
      <c r="J255">
        <v>0</v>
      </c>
      <c r="K255">
        <v>48</v>
      </c>
      <c r="L255">
        <v>9.34</v>
      </c>
      <c r="M255" t="s">
        <v>46</v>
      </c>
    </row>
    <row r="256" spans="1:13" x14ac:dyDescent="0.3">
      <c r="A256">
        <v>10049</v>
      </c>
      <c r="B256" t="s">
        <v>163</v>
      </c>
      <c r="C256" t="s">
        <v>529</v>
      </c>
      <c r="D256" t="s">
        <v>235</v>
      </c>
      <c r="E256" t="s">
        <v>74</v>
      </c>
      <c r="F256" t="s">
        <v>56</v>
      </c>
      <c r="G256" t="s">
        <v>366</v>
      </c>
      <c r="H256">
        <v>8</v>
      </c>
      <c r="I256">
        <v>38.5</v>
      </c>
      <c r="J256">
        <v>0.05</v>
      </c>
      <c r="K256">
        <v>292.60000000000002</v>
      </c>
      <c r="L256">
        <v>64.59</v>
      </c>
      <c r="M256" t="s">
        <v>52</v>
      </c>
    </row>
    <row r="257" spans="1:13" x14ac:dyDescent="0.3">
      <c r="A257">
        <v>10193</v>
      </c>
      <c r="B257" t="s">
        <v>530</v>
      </c>
      <c r="C257" t="s">
        <v>236</v>
      </c>
      <c r="D257" t="s">
        <v>338</v>
      </c>
      <c r="F257" t="s">
        <v>50</v>
      </c>
      <c r="G257" t="s">
        <v>84</v>
      </c>
      <c r="H257">
        <v>5</v>
      </c>
      <c r="I257">
        <v>75.5</v>
      </c>
      <c r="J257">
        <v>0.25</v>
      </c>
      <c r="K257">
        <v>283.12</v>
      </c>
      <c r="L257">
        <v>44.43</v>
      </c>
      <c r="M257" t="s">
        <v>52</v>
      </c>
    </row>
    <row r="258" spans="1:13" x14ac:dyDescent="0.3">
      <c r="A258">
        <v>10092</v>
      </c>
      <c r="B258" t="s">
        <v>184</v>
      </c>
      <c r="C258" t="s">
        <v>531</v>
      </c>
      <c r="D258" t="s">
        <v>102</v>
      </c>
      <c r="E258" t="s">
        <v>91</v>
      </c>
      <c r="F258" t="s">
        <v>56</v>
      </c>
      <c r="G258" t="s">
        <v>366</v>
      </c>
      <c r="H258">
        <v>1</v>
      </c>
      <c r="I258">
        <v>38.5</v>
      </c>
      <c r="J258">
        <v>0.05</v>
      </c>
      <c r="K258">
        <v>36.57</v>
      </c>
      <c r="L258">
        <v>8.09</v>
      </c>
      <c r="M258" t="s">
        <v>46</v>
      </c>
    </row>
    <row r="259" spans="1:13" x14ac:dyDescent="0.3">
      <c r="A259">
        <v>10295</v>
      </c>
      <c r="B259" t="s">
        <v>532</v>
      </c>
      <c r="C259" t="s">
        <v>255</v>
      </c>
      <c r="D259" t="s">
        <v>94</v>
      </c>
      <c r="E259" t="s">
        <v>61</v>
      </c>
      <c r="F259" t="s">
        <v>50</v>
      </c>
      <c r="G259" t="s">
        <v>99</v>
      </c>
      <c r="H259">
        <v>3</v>
      </c>
      <c r="I259">
        <v>15</v>
      </c>
      <c r="J259">
        <v>0.05</v>
      </c>
      <c r="K259">
        <v>42.75</v>
      </c>
      <c r="L259">
        <v>8.42</v>
      </c>
      <c r="M259" t="s">
        <v>52</v>
      </c>
    </row>
    <row r="260" spans="1:13" x14ac:dyDescent="0.3">
      <c r="A260">
        <v>10315</v>
      </c>
      <c r="B260" t="s">
        <v>533</v>
      </c>
      <c r="C260" t="s">
        <v>355</v>
      </c>
      <c r="D260" t="s">
        <v>534</v>
      </c>
      <c r="E260" t="s">
        <v>91</v>
      </c>
      <c r="F260" t="s">
        <v>44</v>
      </c>
      <c r="G260" t="s">
        <v>106</v>
      </c>
      <c r="H260">
        <v>7</v>
      </c>
      <c r="I260">
        <v>6.75</v>
      </c>
      <c r="J260">
        <v>0.2</v>
      </c>
      <c r="K260">
        <v>37.799999999999997</v>
      </c>
      <c r="L260">
        <v>14.03</v>
      </c>
      <c r="M260" t="s">
        <v>46</v>
      </c>
    </row>
    <row r="261" spans="1:13" x14ac:dyDescent="0.3">
      <c r="A261">
        <v>10069</v>
      </c>
      <c r="B261" t="s">
        <v>535</v>
      </c>
      <c r="C261" t="s">
        <v>466</v>
      </c>
      <c r="D261" t="s">
        <v>412</v>
      </c>
      <c r="E261" t="s">
        <v>74</v>
      </c>
      <c r="F261" t="s">
        <v>56</v>
      </c>
      <c r="G261" t="s">
        <v>149</v>
      </c>
      <c r="H261">
        <v>7</v>
      </c>
      <c r="I261">
        <v>42</v>
      </c>
      <c r="J261">
        <v>0</v>
      </c>
      <c r="K261">
        <v>294</v>
      </c>
      <c r="L261">
        <v>69.22</v>
      </c>
      <c r="M261" t="s">
        <v>46</v>
      </c>
    </row>
    <row r="262" spans="1:13" x14ac:dyDescent="0.3">
      <c r="A262">
        <v>10313</v>
      </c>
      <c r="B262" t="s">
        <v>536</v>
      </c>
      <c r="C262" t="s">
        <v>197</v>
      </c>
      <c r="D262" t="s">
        <v>145</v>
      </c>
      <c r="E262" t="s">
        <v>43</v>
      </c>
      <c r="F262" t="s">
        <v>44</v>
      </c>
      <c r="G262" t="s">
        <v>146</v>
      </c>
      <c r="H262">
        <v>3</v>
      </c>
      <c r="I262">
        <v>3.1</v>
      </c>
      <c r="J262">
        <v>0.2</v>
      </c>
      <c r="K262">
        <v>7.44</v>
      </c>
      <c r="L262">
        <v>2.89</v>
      </c>
      <c r="M262" t="s">
        <v>52</v>
      </c>
    </row>
    <row r="263" spans="1:13" x14ac:dyDescent="0.3">
      <c r="A263">
        <v>10173</v>
      </c>
      <c r="B263" t="s">
        <v>537</v>
      </c>
      <c r="C263" t="s">
        <v>423</v>
      </c>
      <c r="D263" t="s">
        <v>368</v>
      </c>
      <c r="E263" t="s">
        <v>74</v>
      </c>
      <c r="F263" t="s">
        <v>56</v>
      </c>
      <c r="G263" t="s">
        <v>217</v>
      </c>
      <c r="H263">
        <v>8</v>
      </c>
      <c r="I263">
        <v>8</v>
      </c>
      <c r="J263">
        <v>0.1</v>
      </c>
      <c r="K263">
        <v>57.6</v>
      </c>
      <c r="L263">
        <v>10.91</v>
      </c>
      <c r="M263" t="s">
        <v>52</v>
      </c>
    </row>
    <row r="264" spans="1:13" x14ac:dyDescent="0.3">
      <c r="A264">
        <v>10234</v>
      </c>
      <c r="B264" t="s">
        <v>538</v>
      </c>
      <c r="C264" t="s">
        <v>330</v>
      </c>
      <c r="D264" t="s">
        <v>362</v>
      </c>
      <c r="E264" t="s">
        <v>125</v>
      </c>
      <c r="F264" t="s">
        <v>44</v>
      </c>
      <c r="G264" t="s">
        <v>45</v>
      </c>
      <c r="H264">
        <v>2</v>
      </c>
      <c r="I264">
        <v>4.25</v>
      </c>
      <c r="J264">
        <v>0</v>
      </c>
      <c r="K264">
        <v>8.5</v>
      </c>
      <c r="L264">
        <v>3.25</v>
      </c>
      <c r="M264" t="s">
        <v>63</v>
      </c>
    </row>
    <row r="265" spans="1:13" x14ac:dyDescent="0.3">
      <c r="A265">
        <v>10149</v>
      </c>
      <c r="B265" t="s">
        <v>524</v>
      </c>
      <c r="C265" t="s">
        <v>539</v>
      </c>
      <c r="D265" t="s">
        <v>253</v>
      </c>
      <c r="E265" t="s">
        <v>74</v>
      </c>
      <c r="F265" t="s">
        <v>75</v>
      </c>
      <c r="G265" t="s">
        <v>76</v>
      </c>
      <c r="H265">
        <v>8</v>
      </c>
      <c r="I265">
        <v>22</v>
      </c>
      <c r="J265">
        <v>0.25</v>
      </c>
      <c r="K265">
        <v>132</v>
      </c>
      <c r="L265">
        <v>31.83</v>
      </c>
      <c r="M265" t="s">
        <v>63</v>
      </c>
    </row>
    <row r="266" spans="1:13" x14ac:dyDescent="0.3">
      <c r="A266">
        <v>10321</v>
      </c>
      <c r="B266" t="s">
        <v>185</v>
      </c>
      <c r="C266" t="s">
        <v>313</v>
      </c>
      <c r="D266" t="s">
        <v>148</v>
      </c>
      <c r="E266" t="s">
        <v>91</v>
      </c>
      <c r="F266" t="s">
        <v>44</v>
      </c>
      <c r="G266" t="s">
        <v>67</v>
      </c>
      <c r="H266">
        <v>8</v>
      </c>
      <c r="I266">
        <v>5.5</v>
      </c>
      <c r="J266">
        <v>0</v>
      </c>
      <c r="K266">
        <v>44</v>
      </c>
      <c r="L266">
        <v>14.79</v>
      </c>
      <c r="M266" t="s">
        <v>46</v>
      </c>
    </row>
    <row r="267" spans="1:13" x14ac:dyDescent="0.3">
      <c r="A267">
        <v>10024</v>
      </c>
      <c r="B267" t="s">
        <v>540</v>
      </c>
      <c r="C267" t="s">
        <v>337</v>
      </c>
      <c r="D267" t="s">
        <v>501</v>
      </c>
      <c r="E267" t="s">
        <v>125</v>
      </c>
      <c r="F267" t="s">
        <v>56</v>
      </c>
      <c r="G267" t="s">
        <v>149</v>
      </c>
      <c r="H267">
        <v>7</v>
      </c>
      <c r="I267">
        <v>42</v>
      </c>
      <c r="J267">
        <v>0</v>
      </c>
      <c r="K267">
        <v>294</v>
      </c>
      <c r="L267">
        <v>60.38</v>
      </c>
      <c r="M267" t="s">
        <v>52</v>
      </c>
    </row>
    <row r="268" spans="1:13" x14ac:dyDescent="0.3">
      <c r="A268">
        <v>10034</v>
      </c>
      <c r="B268" t="s">
        <v>431</v>
      </c>
      <c r="C268" t="s">
        <v>117</v>
      </c>
      <c r="D268" t="s">
        <v>541</v>
      </c>
      <c r="E268" t="s">
        <v>91</v>
      </c>
      <c r="F268" t="s">
        <v>75</v>
      </c>
      <c r="G268" t="s">
        <v>303</v>
      </c>
      <c r="H268">
        <v>5</v>
      </c>
      <c r="I268">
        <v>29.99</v>
      </c>
      <c r="J268">
        <v>0</v>
      </c>
      <c r="K268">
        <v>149.94999999999999</v>
      </c>
      <c r="L268">
        <v>47.51</v>
      </c>
      <c r="M268" t="s">
        <v>63</v>
      </c>
    </row>
    <row r="269" spans="1:13" x14ac:dyDescent="0.3">
      <c r="A269">
        <v>10086</v>
      </c>
      <c r="B269" t="s">
        <v>300</v>
      </c>
      <c r="C269" t="s">
        <v>526</v>
      </c>
      <c r="D269" t="s">
        <v>328</v>
      </c>
      <c r="E269" t="s">
        <v>43</v>
      </c>
      <c r="F269" t="s">
        <v>75</v>
      </c>
      <c r="G269" t="s">
        <v>202</v>
      </c>
      <c r="H269">
        <v>5</v>
      </c>
      <c r="I269">
        <v>34.5</v>
      </c>
      <c r="J269">
        <v>0.1</v>
      </c>
      <c r="K269">
        <v>155.25</v>
      </c>
      <c r="L269">
        <v>42.68</v>
      </c>
      <c r="M269" t="s">
        <v>46</v>
      </c>
    </row>
    <row r="270" spans="1:13" x14ac:dyDescent="0.3">
      <c r="A270">
        <v>10157</v>
      </c>
      <c r="B270" t="s">
        <v>542</v>
      </c>
      <c r="C270" t="s">
        <v>69</v>
      </c>
      <c r="D270" t="s">
        <v>256</v>
      </c>
      <c r="E270" t="s">
        <v>61</v>
      </c>
      <c r="F270" t="s">
        <v>50</v>
      </c>
      <c r="G270" t="s">
        <v>51</v>
      </c>
      <c r="H270">
        <v>3</v>
      </c>
      <c r="I270">
        <v>120</v>
      </c>
      <c r="J270">
        <v>0</v>
      </c>
      <c r="K270">
        <v>360</v>
      </c>
      <c r="L270">
        <v>56.58</v>
      </c>
      <c r="M270" t="s">
        <v>46</v>
      </c>
    </row>
    <row r="271" spans="1:13" x14ac:dyDescent="0.3">
      <c r="A271">
        <v>10258</v>
      </c>
      <c r="B271" t="s">
        <v>307</v>
      </c>
      <c r="C271" t="s">
        <v>543</v>
      </c>
      <c r="D271" t="s">
        <v>145</v>
      </c>
      <c r="E271" t="s">
        <v>125</v>
      </c>
      <c r="F271" t="s">
        <v>56</v>
      </c>
      <c r="G271" t="s">
        <v>133</v>
      </c>
      <c r="H271">
        <v>5</v>
      </c>
      <c r="I271">
        <v>9.99</v>
      </c>
      <c r="J271">
        <v>0</v>
      </c>
      <c r="K271">
        <v>49.95</v>
      </c>
      <c r="L271">
        <v>11.2</v>
      </c>
      <c r="M271" t="s">
        <v>46</v>
      </c>
    </row>
    <row r="272" spans="1:13" x14ac:dyDescent="0.3">
      <c r="A272">
        <v>10369</v>
      </c>
      <c r="B272" t="s">
        <v>500</v>
      </c>
      <c r="C272" t="s">
        <v>466</v>
      </c>
      <c r="D272" t="s">
        <v>544</v>
      </c>
      <c r="E272" t="s">
        <v>43</v>
      </c>
      <c r="F272" t="s">
        <v>75</v>
      </c>
      <c r="G272" t="s">
        <v>95</v>
      </c>
      <c r="H272">
        <v>9</v>
      </c>
      <c r="I272">
        <v>18.75</v>
      </c>
      <c r="J272">
        <v>0.2</v>
      </c>
      <c r="K272">
        <v>135</v>
      </c>
      <c r="L272">
        <v>38.39</v>
      </c>
      <c r="M272" t="s">
        <v>52</v>
      </c>
    </row>
    <row r="273" spans="1:13" x14ac:dyDescent="0.3">
      <c r="A273">
        <v>10053</v>
      </c>
      <c r="B273" t="s">
        <v>545</v>
      </c>
      <c r="C273" t="s">
        <v>364</v>
      </c>
      <c r="E273" t="s">
        <v>125</v>
      </c>
      <c r="F273" t="s">
        <v>56</v>
      </c>
      <c r="G273" t="s">
        <v>133</v>
      </c>
      <c r="H273">
        <v>9</v>
      </c>
      <c r="I273">
        <v>9.99</v>
      </c>
      <c r="J273">
        <v>0.05</v>
      </c>
      <c r="K273">
        <v>85.41</v>
      </c>
      <c r="L273">
        <v>21.14</v>
      </c>
      <c r="M273" t="s">
        <v>63</v>
      </c>
    </row>
    <row r="274" spans="1:13" x14ac:dyDescent="0.3">
      <c r="A274">
        <v>10375</v>
      </c>
      <c r="B274" t="s">
        <v>546</v>
      </c>
      <c r="C274" t="s">
        <v>393</v>
      </c>
      <c r="D274" t="s">
        <v>547</v>
      </c>
      <c r="E274" t="s">
        <v>61</v>
      </c>
      <c r="F274" t="s">
        <v>44</v>
      </c>
      <c r="G274" t="s">
        <v>146</v>
      </c>
      <c r="H274">
        <v>7</v>
      </c>
      <c r="I274">
        <v>3.1</v>
      </c>
      <c r="J274">
        <v>0</v>
      </c>
      <c r="K274">
        <v>21.7</v>
      </c>
      <c r="L274">
        <v>6.88</v>
      </c>
      <c r="M274" t="s">
        <v>46</v>
      </c>
    </row>
    <row r="275" spans="1:13" x14ac:dyDescent="0.3">
      <c r="A275">
        <v>10160</v>
      </c>
      <c r="B275" t="s">
        <v>548</v>
      </c>
      <c r="C275" t="s">
        <v>472</v>
      </c>
      <c r="D275" t="s">
        <v>490</v>
      </c>
      <c r="E275" t="s">
        <v>74</v>
      </c>
      <c r="F275" t="s">
        <v>56</v>
      </c>
      <c r="G275" t="s">
        <v>149</v>
      </c>
      <c r="H275">
        <v>6</v>
      </c>
      <c r="I275">
        <v>42</v>
      </c>
      <c r="J275">
        <v>0.25</v>
      </c>
      <c r="K275">
        <v>189</v>
      </c>
      <c r="L275">
        <v>41.1</v>
      </c>
      <c r="M275" t="s">
        <v>46</v>
      </c>
    </row>
    <row r="276" spans="1:13" x14ac:dyDescent="0.3">
      <c r="A276">
        <v>10177</v>
      </c>
      <c r="B276" t="s">
        <v>363</v>
      </c>
      <c r="C276" t="s">
        <v>456</v>
      </c>
      <c r="D276" t="s">
        <v>485</v>
      </c>
      <c r="E276" t="s">
        <v>61</v>
      </c>
      <c r="F276" t="s">
        <v>50</v>
      </c>
      <c r="G276" t="s">
        <v>84</v>
      </c>
      <c r="H276">
        <v>6</v>
      </c>
      <c r="I276">
        <v>75.5</v>
      </c>
      <c r="J276">
        <v>0.25</v>
      </c>
      <c r="K276">
        <v>339.75</v>
      </c>
      <c r="L276">
        <v>52.76</v>
      </c>
      <c r="M276" t="s">
        <v>52</v>
      </c>
    </row>
    <row r="277" spans="1:13" x14ac:dyDescent="0.3">
      <c r="A277">
        <v>10116</v>
      </c>
      <c r="B277" t="s">
        <v>532</v>
      </c>
      <c r="C277" t="s">
        <v>192</v>
      </c>
      <c r="D277" t="s">
        <v>274</v>
      </c>
      <c r="E277" t="s">
        <v>125</v>
      </c>
      <c r="F277" t="s">
        <v>75</v>
      </c>
      <c r="G277" t="s">
        <v>95</v>
      </c>
      <c r="H277">
        <v>5</v>
      </c>
      <c r="I277">
        <v>18.75</v>
      </c>
      <c r="J277">
        <v>0.2</v>
      </c>
      <c r="K277">
        <v>75</v>
      </c>
      <c r="L277">
        <v>18.59</v>
      </c>
      <c r="M277" t="s">
        <v>52</v>
      </c>
    </row>
    <row r="278" spans="1:13" x14ac:dyDescent="0.3">
      <c r="A278">
        <v>10128</v>
      </c>
      <c r="B278" t="s">
        <v>549</v>
      </c>
      <c r="C278" t="s">
        <v>481</v>
      </c>
      <c r="D278" t="s">
        <v>159</v>
      </c>
      <c r="E278" t="s">
        <v>91</v>
      </c>
      <c r="F278" t="s">
        <v>44</v>
      </c>
      <c r="G278" t="s">
        <v>156</v>
      </c>
      <c r="H278">
        <v>10</v>
      </c>
      <c r="I278">
        <v>27</v>
      </c>
      <c r="J278">
        <v>0.1</v>
      </c>
      <c r="K278">
        <v>243</v>
      </c>
      <c r="L278">
        <v>83.87</v>
      </c>
      <c r="M278" t="s">
        <v>63</v>
      </c>
    </row>
    <row r="279" spans="1:13" x14ac:dyDescent="0.3">
      <c r="A279">
        <v>10359</v>
      </c>
      <c r="B279" t="s">
        <v>381</v>
      </c>
      <c r="C279" t="s">
        <v>161</v>
      </c>
      <c r="D279" t="s">
        <v>550</v>
      </c>
      <c r="E279" t="s">
        <v>125</v>
      </c>
      <c r="F279" t="s">
        <v>75</v>
      </c>
      <c r="G279" t="s">
        <v>126</v>
      </c>
      <c r="H279">
        <v>6</v>
      </c>
      <c r="I279">
        <v>12.99</v>
      </c>
      <c r="J279">
        <v>0.05</v>
      </c>
      <c r="K279">
        <v>74.040000000000006</v>
      </c>
      <c r="L279">
        <v>23.68</v>
      </c>
      <c r="M279" t="s">
        <v>46</v>
      </c>
    </row>
    <row r="280" spans="1:13" x14ac:dyDescent="0.3">
      <c r="A280">
        <v>10010</v>
      </c>
      <c r="B280" t="s">
        <v>537</v>
      </c>
      <c r="C280" t="s">
        <v>472</v>
      </c>
      <c r="D280" t="s">
        <v>471</v>
      </c>
      <c r="E280" t="s">
        <v>125</v>
      </c>
      <c r="F280" t="s">
        <v>56</v>
      </c>
      <c r="G280" t="s">
        <v>366</v>
      </c>
      <c r="H280">
        <v>8</v>
      </c>
      <c r="I280">
        <v>38.5</v>
      </c>
      <c r="J280">
        <v>0</v>
      </c>
      <c r="K280">
        <v>308</v>
      </c>
      <c r="L280">
        <v>62.98</v>
      </c>
      <c r="M280" t="s">
        <v>46</v>
      </c>
    </row>
    <row r="281" spans="1:13" x14ac:dyDescent="0.3">
      <c r="A281">
        <v>10374</v>
      </c>
      <c r="B281" t="s">
        <v>551</v>
      </c>
      <c r="C281" t="s">
        <v>86</v>
      </c>
      <c r="D281" t="s">
        <v>552</v>
      </c>
      <c r="E281" t="s">
        <v>74</v>
      </c>
      <c r="F281" t="s">
        <v>44</v>
      </c>
      <c r="G281" t="s">
        <v>146</v>
      </c>
      <c r="H281">
        <v>5</v>
      </c>
      <c r="I281">
        <v>3.1</v>
      </c>
      <c r="J281">
        <v>0.25</v>
      </c>
      <c r="K281">
        <v>11.62</v>
      </c>
      <c r="L281">
        <v>4.5</v>
      </c>
      <c r="M281" t="s">
        <v>63</v>
      </c>
    </row>
    <row r="282" spans="1:13" x14ac:dyDescent="0.3">
      <c r="A282">
        <v>10322</v>
      </c>
      <c r="B282" t="s">
        <v>181</v>
      </c>
      <c r="C282" t="s">
        <v>325</v>
      </c>
      <c r="D282" t="s">
        <v>311</v>
      </c>
      <c r="E282" t="s">
        <v>43</v>
      </c>
      <c r="F282" t="s">
        <v>50</v>
      </c>
      <c r="G282" t="s">
        <v>99</v>
      </c>
      <c r="H282">
        <v>1</v>
      </c>
      <c r="I282">
        <v>15</v>
      </c>
      <c r="J282">
        <v>0</v>
      </c>
      <c r="K282">
        <v>15</v>
      </c>
      <c r="L282">
        <v>2.99</v>
      </c>
      <c r="M282" t="s">
        <v>63</v>
      </c>
    </row>
    <row r="283" spans="1:13" x14ac:dyDescent="0.3">
      <c r="A283">
        <v>10165</v>
      </c>
      <c r="B283" t="s">
        <v>553</v>
      </c>
      <c r="C283" t="s">
        <v>355</v>
      </c>
      <c r="D283" t="s">
        <v>343</v>
      </c>
      <c r="E283" t="s">
        <v>74</v>
      </c>
      <c r="F283" t="s">
        <v>56</v>
      </c>
      <c r="G283" t="s">
        <v>149</v>
      </c>
      <c r="H283">
        <v>8</v>
      </c>
      <c r="I283">
        <v>42</v>
      </c>
      <c r="J283">
        <v>0.25</v>
      </c>
      <c r="K283">
        <v>252</v>
      </c>
      <c r="L283">
        <v>57.36</v>
      </c>
      <c r="M283" t="s">
        <v>52</v>
      </c>
    </row>
    <row r="284" spans="1:13" x14ac:dyDescent="0.3">
      <c r="A284">
        <v>10008</v>
      </c>
      <c r="B284" t="s">
        <v>554</v>
      </c>
      <c r="C284" t="s">
        <v>503</v>
      </c>
      <c r="D284" t="s">
        <v>544</v>
      </c>
      <c r="E284" t="s">
        <v>43</v>
      </c>
      <c r="F284" t="s">
        <v>50</v>
      </c>
      <c r="G284" t="s">
        <v>99</v>
      </c>
      <c r="H284">
        <v>4</v>
      </c>
      <c r="I284">
        <v>15</v>
      </c>
      <c r="J284">
        <v>0</v>
      </c>
      <c r="K284">
        <v>60</v>
      </c>
      <c r="L284">
        <v>10.68</v>
      </c>
      <c r="M284" t="s">
        <v>63</v>
      </c>
    </row>
    <row r="285" spans="1:13" x14ac:dyDescent="0.3">
      <c r="A285">
        <v>10192</v>
      </c>
      <c r="B285" t="s">
        <v>555</v>
      </c>
      <c r="C285" t="s">
        <v>267</v>
      </c>
      <c r="D285" t="s">
        <v>201</v>
      </c>
      <c r="E285" t="s">
        <v>91</v>
      </c>
      <c r="F285" t="s">
        <v>56</v>
      </c>
      <c r="G285" t="s">
        <v>217</v>
      </c>
      <c r="H285">
        <v>1</v>
      </c>
      <c r="I285">
        <v>8</v>
      </c>
      <c r="J285">
        <v>0.25</v>
      </c>
      <c r="K285">
        <v>6</v>
      </c>
      <c r="L285">
        <v>1.47</v>
      </c>
      <c r="M285" t="s">
        <v>46</v>
      </c>
    </row>
    <row r="286" spans="1:13" x14ac:dyDescent="0.3">
      <c r="A286">
        <v>10316</v>
      </c>
      <c r="B286" t="s">
        <v>556</v>
      </c>
      <c r="C286" t="s">
        <v>131</v>
      </c>
      <c r="D286" t="s">
        <v>306</v>
      </c>
      <c r="E286" t="s">
        <v>125</v>
      </c>
      <c r="F286" t="s">
        <v>44</v>
      </c>
      <c r="G286" t="s">
        <v>67</v>
      </c>
      <c r="H286">
        <v>5</v>
      </c>
      <c r="I286">
        <v>5.5</v>
      </c>
      <c r="J286">
        <v>0</v>
      </c>
      <c r="K286">
        <v>27.5</v>
      </c>
      <c r="L286">
        <v>9.66</v>
      </c>
      <c r="M286" t="s">
        <v>46</v>
      </c>
    </row>
    <row r="287" spans="1:13" x14ac:dyDescent="0.3">
      <c r="A287">
        <v>10368</v>
      </c>
      <c r="B287" t="s">
        <v>557</v>
      </c>
      <c r="C287" t="s">
        <v>441</v>
      </c>
      <c r="D287" t="s">
        <v>109</v>
      </c>
      <c r="E287" t="s">
        <v>43</v>
      </c>
      <c r="F287" t="s">
        <v>56</v>
      </c>
      <c r="G287" t="s">
        <v>133</v>
      </c>
      <c r="H287">
        <v>7</v>
      </c>
      <c r="I287">
        <v>9.99</v>
      </c>
      <c r="J287">
        <v>0.05</v>
      </c>
      <c r="K287">
        <v>66.430000000000007</v>
      </c>
      <c r="L287">
        <v>16.79</v>
      </c>
      <c r="M287" t="s">
        <v>52</v>
      </c>
    </row>
    <row r="288" spans="1:13" x14ac:dyDescent="0.3">
      <c r="A288">
        <v>10020</v>
      </c>
      <c r="B288" t="s">
        <v>551</v>
      </c>
      <c r="C288" t="s">
        <v>450</v>
      </c>
      <c r="D288" t="s">
        <v>132</v>
      </c>
      <c r="E288" t="s">
        <v>91</v>
      </c>
      <c r="F288" t="s">
        <v>50</v>
      </c>
      <c r="G288" t="s">
        <v>99</v>
      </c>
      <c r="H288">
        <v>4</v>
      </c>
      <c r="I288">
        <v>15</v>
      </c>
      <c r="J288">
        <v>0</v>
      </c>
      <c r="K288">
        <v>60</v>
      </c>
      <c r="L288">
        <v>9.41</v>
      </c>
      <c r="M288" t="s">
        <v>63</v>
      </c>
    </row>
    <row r="289" spans="1:13" x14ac:dyDescent="0.3">
      <c r="A289">
        <v>10302</v>
      </c>
      <c r="B289" t="s">
        <v>401</v>
      </c>
      <c r="C289" t="s">
        <v>258</v>
      </c>
      <c r="D289" t="s">
        <v>162</v>
      </c>
      <c r="E289" t="s">
        <v>43</v>
      </c>
      <c r="F289" t="s">
        <v>75</v>
      </c>
      <c r="G289" t="s">
        <v>95</v>
      </c>
      <c r="H289">
        <v>1</v>
      </c>
      <c r="I289">
        <v>18.75</v>
      </c>
      <c r="J289">
        <v>0</v>
      </c>
      <c r="K289">
        <v>18.75</v>
      </c>
      <c r="L289">
        <v>5.93</v>
      </c>
      <c r="M289" t="s">
        <v>52</v>
      </c>
    </row>
    <row r="290" spans="1:13" x14ac:dyDescent="0.3">
      <c r="A290">
        <v>10197</v>
      </c>
      <c r="B290" t="s">
        <v>298</v>
      </c>
      <c r="C290" t="s">
        <v>154</v>
      </c>
      <c r="D290" t="s">
        <v>331</v>
      </c>
      <c r="E290" t="s">
        <v>125</v>
      </c>
      <c r="F290" t="s">
        <v>50</v>
      </c>
      <c r="G290" t="s">
        <v>84</v>
      </c>
      <c r="H290">
        <v>9</v>
      </c>
      <c r="I290">
        <v>75.5</v>
      </c>
      <c r="J290">
        <v>0.25</v>
      </c>
      <c r="K290">
        <v>509.62</v>
      </c>
      <c r="L290">
        <v>91.7</v>
      </c>
      <c r="M290" t="s">
        <v>63</v>
      </c>
    </row>
    <row r="291" spans="1:13" x14ac:dyDescent="0.3">
      <c r="A291">
        <v>10245</v>
      </c>
      <c r="B291" t="s">
        <v>218</v>
      </c>
      <c r="C291" t="s">
        <v>111</v>
      </c>
      <c r="D291" t="s">
        <v>112</v>
      </c>
      <c r="E291" t="s">
        <v>61</v>
      </c>
      <c r="F291" t="s">
        <v>44</v>
      </c>
      <c r="G291" t="s">
        <v>146</v>
      </c>
      <c r="H291">
        <v>5</v>
      </c>
      <c r="I291">
        <v>3.1</v>
      </c>
      <c r="J291">
        <v>0.15</v>
      </c>
      <c r="K291">
        <v>13.17</v>
      </c>
      <c r="L291">
        <v>4.63</v>
      </c>
      <c r="M291" t="s">
        <v>63</v>
      </c>
    </row>
    <row r="292" spans="1:13" x14ac:dyDescent="0.3">
      <c r="A292">
        <v>10291</v>
      </c>
      <c r="B292" t="s">
        <v>545</v>
      </c>
      <c r="C292" t="s">
        <v>558</v>
      </c>
      <c r="D292" t="s">
        <v>384</v>
      </c>
      <c r="E292" t="s">
        <v>74</v>
      </c>
      <c r="F292" t="s">
        <v>75</v>
      </c>
      <c r="G292" t="s">
        <v>76</v>
      </c>
      <c r="H292">
        <v>4</v>
      </c>
      <c r="I292">
        <v>22</v>
      </c>
      <c r="J292">
        <v>0.1</v>
      </c>
      <c r="K292">
        <v>79.2</v>
      </c>
      <c r="L292">
        <v>19.97</v>
      </c>
      <c r="M292" t="s">
        <v>46</v>
      </c>
    </row>
    <row r="293" spans="1:13" x14ac:dyDescent="0.3">
      <c r="A293">
        <v>10130</v>
      </c>
      <c r="B293" t="s">
        <v>513</v>
      </c>
      <c r="C293" t="s">
        <v>280</v>
      </c>
      <c r="D293" t="s">
        <v>341</v>
      </c>
      <c r="E293" t="s">
        <v>74</v>
      </c>
      <c r="F293" t="s">
        <v>56</v>
      </c>
      <c r="G293" t="s">
        <v>57</v>
      </c>
      <c r="H293">
        <v>5</v>
      </c>
      <c r="I293">
        <v>55</v>
      </c>
      <c r="J293">
        <v>0.15</v>
      </c>
      <c r="K293">
        <v>233.75</v>
      </c>
      <c r="L293">
        <v>58.42</v>
      </c>
      <c r="M293" t="s">
        <v>63</v>
      </c>
    </row>
    <row r="294" spans="1:13" x14ac:dyDescent="0.3">
      <c r="A294">
        <v>10220</v>
      </c>
      <c r="B294" t="s">
        <v>559</v>
      </c>
      <c r="C294" t="s">
        <v>462</v>
      </c>
      <c r="D294" t="s">
        <v>306</v>
      </c>
      <c r="E294" t="s">
        <v>74</v>
      </c>
      <c r="F294" t="s">
        <v>50</v>
      </c>
      <c r="G294" t="s">
        <v>80</v>
      </c>
      <c r="H294">
        <v>6</v>
      </c>
      <c r="I294">
        <v>89</v>
      </c>
      <c r="J294">
        <v>0.1</v>
      </c>
      <c r="K294">
        <v>480.6</v>
      </c>
      <c r="L294">
        <v>88.27</v>
      </c>
      <c r="M294" t="s">
        <v>46</v>
      </c>
    </row>
    <row r="295" spans="1:13" x14ac:dyDescent="0.3">
      <c r="A295">
        <v>10223</v>
      </c>
      <c r="B295" t="s">
        <v>560</v>
      </c>
      <c r="C295" t="s">
        <v>452</v>
      </c>
      <c r="D295" t="s">
        <v>561</v>
      </c>
      <c r="E295" t="s">
        <v>91</v>
      </c>
      <c r="F295" t="s">
        <v>75</v>
      </c>
      <c r="G295" t="s">
        <v>76</v>
      </c>
      <c r="H295">
        <v>6</v>
      </c>
      <c r="I295">
        <v>22</v>
      </c>
      <c r="J295">
        <v>0.05</v>
      </c>
      <c r="K295">
        <v>125.4</v>
      </c>
      <c r="L295">
        <v>30.5</v>
      </c>
      <c r="M295" t="s">
        <v>52</v>
      </c>
    </row>
    <row r="296" spans="1:13" x14ac:dyDescent="0.3">
      <c r="A296">
        <v>10067</v>
      </c>
      <c r="B296" t="s">
        <v>173</v>
      </c>
      <c r="C296" t="s">
        <v>229</v>
      </c>
      <c r="D296" t="s">
        <v>79</v>
      </c>
      <c r="E296" t="s">
        <v>125</v>
      </c>
      <c r="F296" t="s">
        <v>75</v>
      </c>
      <c r="G296" t="s">
        <v>76</v>
      </c>
      <c r="H296">
        <v>10</v>
      </c>
      <c r="I296">
        <v>22</v>
      </c>
      <c r="J296">
        <v>0</v>
      </c>
      <c r="K296">
        <v>220</v>
      </c>
      <c r="L296">
        <v>67.069999999999993</v>
      </c>
      <c r="M296" t="s">
        <v>52</v>
      </c>
    </row>
    <row r="297" spans="1:13" x14ac:dyDescent="0.3">
      <c r="A297">
        <v>10347</v>
      </c>
      <c r="B297" t="s">
        <v>562</v>
      </c>
      <c r="C297" t="s">
        <v>154</v>
      </c>
      <c r="D297" t="s">
        <v>162</v>
      </c>
      <c r="F297" t="s">
        <v>50</v>
      </c>
      <c r="G297" t="s">
        <v>99</v>
      </c>
      <c r="H297">
        <v>4</v>
      </c>
      <c r="I297">
        <v>15</v>
      </c>
      <c r="J297">
        <v>0.25</v>
      </c>
      <c r="K297">
        <v>45</v>
      </c>
      <c r="L297">
        <v>8.1999999999999993</v>
      </c>
      <c r="M297" t="s">
        <v>63</v>
      </c>
    </row>
    <row r="298" spans="1:13" x14ac:dyDescent="0.3">
      <c r="A298">
        <v>10251</v>
      </c>
      <c r="B298" t="s">
        <v>563</v>
      </c>
      <c r="C298" t="s">
        <v>276</v>
      </c>
      <c r="D298" t="s">
        <v>374</v>
      </c>
      <c r="E298" t="s">
        <v>91</v>
      </c>
      <c r="F298" t="s">
        <v>56</v>
      </c>
      <c r="G298" t="s">
        <v>366</v>
      </c>
      <c r="H298">
        <v>1</v>
      </c>
      <c r="I298">
        <v>38.5</v>
      </c>
      <c r="J298">
        <v>0</v>
      </c>
      <c r="K298">
        <v>38.5</v>
      </c>
      <c r="L298">
        <v>8.5500000000000007</v>
      </c>
      <c r="M298" t="s">
        <v>63</v>
      </c>
    </row>
    <row r="299" spans="1:13" x14ac:dyDescent="0.3">
      <c r="A299">
        <v>10082</v>
      </c>
      <c r="B299" t="s">
        <v>344</v>
      </c>
      <c r="C299" t="s">
        <v>564</v>
      </c>
      <c r="D299" t="s">
        <v>552</v>
      </c>
      <c r="E299" t="s">
        <v>91</v>
      </c>
      <c r="F299" t="s">
        <v>56</v>
      </c>
      <c r="G299" t="s">
        <v>57</v>
      </c>
      <c r="H299">
        <v>10</v>
      </c>
      <c r="I299">
        <v>55</v>
      </c>
      <c r="J299">
        <v>0</v>
      </c>
      <c r="K299">
        <v>550</v>
      </c>
      <c r="L299">
        <v>124.98</v>
      </c>
      <c r="M299" t="s">
        <v>46</v>
      </c>
    </row>
    <row r="300" spans="1:13" x14ac:dyDescent="0.3">
      <c r="A300">
        <v>10296</v>
      </c>
      <c r="B300" t="s">
        <v>440</v>
      </c>
      <c r="C300" t="s">
        <v>305</v>
      </c>
      <c r="D300" t="s">
        <v>320</v>
      </c>
      <c r="E300" t="s">
        <v>74</v>
      </c>
      <c r="F300" t="s">
        <v>50</v>
      </c>
      <c r="G300" t="s">
        <v>62</v>
      </c>
      <c r="H300">
        <v>5</v>
      </c>
      <c r="I300">
        <v>65</v>
      </c>
      <c r="J300">
        <v>0.1</v>
      </c>
      <c r="K300">
        <v>292.5</v>
      </c>
      <c r="L300">
        <v>53.8</v>
      </c>
      <c r="M300" t="s">
        <v>63</v>
      </c>
    </row>
    <row r="301" spans="1:13" x14ac:dyDescent="0.3">
      <c r="A301">
        <v>10087</v>
      </c>
      <c r="B301" t="s">
        <v>565</v>
      </c>
      <c r="C301" t="s">
        <v>358</v>
      </c>
      <c r="D301" t="s">
        <v>566</v>
      </c>
      <c r="E301" t="s">
        <v>74</v>
      </c>
      <c r="F301" t="s">
        <v>56</v>
      </c>
      <c r="G301" t="s">
        <v>366</v>
      </c>
      <c r="H301">
        <v>2</v>
      </c>
      <c r="I301">
        <v>38.5</v>
      </c>
      <c r="J301">
        <v>0</v>
      </c>
      <c r="K301">
        <v>77</v>
      </c>
      <c r="L301">
        <v>18.920000000000002</v>
      </c>
      <c r="M301" t="s">
        <v>52</v>
      </c>
    </row>
    <row r="302" spans="1:13" x14ac:dyDescent="0.3">
      <c r="A302">
        <v>10108</v>
      </c>
      <c r="B302" t="s">
        <v>530</v>
      </c>
      <c r="C302" t="s">
        <v>543</v>
      </c>
      <c r="D302" t="s">
        <v>485</v>
      </c>
      <c r="E302" t="s">
        <v>125</v>
      </c>
      <c r="F302" t="s">
        <v>56</v>
      </c>
      <c r="G302" t="s">
        <v>366</v>
      </c>
      <c r="H302">
        <v>2</v>
      </c>
      <c r="I302">
        <v>38.5</v>
      </c>
      <c r="J302">
        <v>0.05</v>
      </c>
      <c r="K302">
        <v>73.150000000000006</v>
      </c>
      <c r="L302">
        <v>15.52</v>
      </c>
      <c r="M302" t="s">
        <v>52</v>
      </c>
    </row>
    <row r="303" spans="1:13" x14ac:dyDescent="0.3">
      <c r="A303">
        <v>10141</v>
      </c>
      <c r="B303" t="s">
        <v>103</v>
      </c>
      <c r="C303" t="s">
        <v>558</v>
      </c>
      <c r="E303" t="s">
        <v>125</v>
      </c>
      <c r="F303" t="s">
        <v>50</v>
      </c>
      <c r="G303" t="s">
        <v>84</v>
      </c>
      <c r="H303">
        <v>9</v>
      </c>
      <c r="I303">
        <v>75.5</v>
      </c>
      <c r="J303">
        <v>0.05</v>
      </c>
      <c r="K303">
        <v>645.52</v>
      </c>
      <c r="L303">
        <v>116.2</v>
      </c>
      <c r="M303" t="s">
        <v>52</v>
      </c>
    </row>
    <row r="304" spans="1:13" x14ac:dyDescent="0.3">
      <c r="A304">
        <v>10232</v>
      </c>
      <c r="B304" t="s">
        <v>567</v>
      </c>
      <c r="C304" t="s">
        <v>564</v>
      </c>
      <c r="D304" t="s">
        <v>175</v>
      </c>
      <c r="E304" t="s">
        <v>43</v>
      </c>
      <c r="F304" t="s">
        <v>50</v>
      </c>
      <c r="G304" t="s">
        <v>62</v>
      </c>
      <c r="H304">
        <v>2</v>
      </c>
      <c r="I304">
        <v>65</v>
      </c>
      <c r="J304">
        <v>0</v>
      </c>
      <c r="K304">
        <v>130</v>
      </c>
      <c r="L304">
        <v>26.86</v>
      </c>
      <c r="M304" t="s">
        <v>63</v>
      </c>
    </row>
    <row r="305" spans="1:13" x14ac:dyDescent="0.3">
      <c r="A305">
        <v>10003</v>
      </c>
      <c r="B305" t="s">
        <v>568</v>
      </c>
      <c r="C305" t="s">
        <v>488</v>
      </c>
      <c r="D305" t="s">
        <v>569</v>
      </c>
      <c r="E305" t="s">
        <v>91</v>
      </c>
      <c r="F305" t="s">
        <v>56</v>
      </c>
      <c r="G305" t="s">
        <v>149</v>
      </c>
      <c r="H305">
        <v>8</v>
      </c>
      <c r="I305">
        <v>42</v>
      </c>
      <c r="J305">
        <v>0.1</v>
      </c>
      <c r="K305">
        <v>302.39999999999998</v>
      </c>
      <c r="L305">
        <v>72.7</v>
      </c>
      <c r="M305" t="s">
        <v>46</v>
      </c>
    </row>
    <row r="306" spans="1:13" x14ac:dyDescent="0.3">
      <c r="A306">
        <v>10157</v>
      </c>
      <c r="B306" t="s">
        <v>542</v>
      </c>
      <c r="C306" t="s">
        <v>69</v>
      </c>
      <c r="D306" t="s">
        <v>256</v>
      </c>
      <c r="E306" t="s">
        <v>61</v>
      </c>
      <c r="F306" t="s">
        <v>50</v>
      </c>
      <c r="G306" t="s">
        <v>51</v>
      </c>
      <c r="H306">
        <v>3</v>
      </c>
      <c r="I306">
        <v>120</v>
      </c>
      <c r="J306">
        <v>0</v>
      </c>
      <c r="K306">
        <v>360</v>
      </c>
      <c r="L306">
        <v>56.58</v>
      </c>
      <c r="M306" t="s">
        <v>46</v>
      </c>
    </row>
    <row r="307" spans="1:13" x14ac:dyDescent="0.3">
      <c r="A307">
        <v>10161</v>
      </c>
      <c r="B307" t="s">
        <v>536</v>
      </c>
      <c r="C307" t="s">
        <v>151</v>
      </c>
      <c r="D307" t="s">
        <v>570</v>
      </c>
      <c r="E307" t="s">
        <v>61</v>
      </c>
      <c r="F307" t="s">
        <v>50</v>
      </c>
      <c r="G307" t="s">
        <v>51</v>
      </c>
      <c r="H307">
        <v>10</v>
      </c>
      <c r="I307">
        <v>120</v>
      </c>
      <c r="J307">
        <v>0</v>
      </c>
      <c r="K307">
        <v>1200</v>
      </c>
      <c r="L307">
        <v>240.17</v>
      </c>
      <c r="M307" t="s">
        <v>52</v>
      </c>
    </row>
    <row r="308" spans="1:13" x14ac:dyDescent="0.3">
      <c r="A308">
        <v>10091</v>
      </c>
      <c r="B308" t="s">
        <v>571</v>
      </c>
      <c r="C308" t="s">
        <v>572</v>
      </c>
      <c r="D308" t="s">
        <v>326</v>
      </c>
      <c r="E308" t="s">
        <v>91</v>
      </c>
      <c r="F308" t="s">
        <v>75</v>
      </c>
      <c r="G308" t="s">
        <v>95</v>
      </c>
      <c r="H308">
        <v>2</v>
      </c>
      <c r="I308">
        <v>18.75</v>
      </c>
      <c r="J308">
        <v>0.15</v>
      </c>
      <c r="K308">
        <v>31.88</v>
      </c>
      <c r="L308">
        <v>8.26</v>
      </c>
      <c r="M308" t="s">
        <v>46</v>
      </c>
    </row>
    <row r="309" spans="1:13" x14ac:dyDescent="0.3">
      <c r="A309">
        <v>10171</v>
      </c>
      <c r="B309" t="s">
        <v>507</v>
      </c>
      <c r="C309" t="s">
        <v>313</v>
      </c>
      <c r="D309" t="s">
        <v>162</v>
      </c>
      <c r="E309" t="s">
        <v>125</v>
      </c>
      <c r="F309" t="s">
        <v>75</v>
      </c>
      <c r="G309" t="s">
        <v>76</v>
      </c>
      <c r="H309">
        <v>9</v>
      </c>
      <c r="I309">
        <v>22</v>
      </c>
      <c r="J309">
        <v>0.15</v>
      </c>
      <c r="K309">
        <v>168.3</v>
      </c>
      <c r="L309">
        <v>51.56</v>
      </c>
      <c r="M309" t="s">
        <v>46</v>
      </c>
    </row>
    <row r="310" spans="1:13" x14ac:dyDescent="0.3">
      <c r="A310">
        <v>10250</v>
      </c>
      <c r="B310" t="s">
        <v>573</v>
      </c>
      <c r="C310" t="s">
        <v>574</v>
      </c>
      <c r="D310" t="s">
        <v>261</v>
      </c>
      <c r="E310" t="s">
        <v>125</v>
      </c>
      <c r="F310" t="s">
        <v>50</v>
      </c>
      <c r="G310" t="s">
        <v>80</v>
      </c>
      <c r="H310">
        <v>3</v>
      </c>
      <c r="I310">
        <v>89</v>
      </c>
      <c r="J310">
        <v>0</v>
      </c>
      <c r="K310">
        <v>267</v>
      </c>
      <c r="L310">
        <v>44</v>
      </c>
      <c r="M310" t="s">
        <v>63</v>
      </c>
    </row>
    <row r="311" spans="1:13" x14ac:dyDescent="0.3">
      <c r="A311">
        <v>10042</v>
      </c>
      <c r="B311" t="s">
        <v>575</v>
      </c>
      <c r="C311" t="s">
        <v>267</v>
      </c>
      <c r="D311" t="s">
        <v>463</v>
      </c>
      <c r="E311" t="s">
        <v>125</v>
      </c>
      <c r="F311" t="s">
        <v>75</v>
      </c>
      <c r="G311" t="s">
        <v>202</v>
      </c>
      <c r="H311">
        <v>7</v>
      </c>
      <c r="I311">
        <v>34.5</v>
      </c>
      <c r="J311">
        <v>0.15</v>
      </c>
      <c r="K311">
        <v>205.28</v>
      </c>
      <c r="L311">
        <v>53.66</v>
      </c>
      <c r="M311" t="s">
        <v>52</v>
      </c>
    </row>
    <row r="312" spans="1:13" x14ac:dyDescent="0.3">
      <c r="A312">
        <v>10358</v>
      </c>
      <c r="B312" t="s">
        <v>576</v>
      </c>
      <c r="C312" t="s">
        <v>521</v>
      </c>
      <c r="D312" t="s">
        <v>379</v>
      </c>
      <c r="E312" t="s">
        <v>91</v>
      </c>
      <c r="F312" t="s">
        <v>75</v>
      </c>
      <c r="G312" t="s">
        <v>76</v>
      </c>
      <c r="H312">
        <v>10</v>
      </c>
      <c r="I312">
        <v>22</v>
      </c>
      <c r="J312">
        <v>0.25</v>
      </c>
      <c r="K312">
        <v>165</v>
      </c>
      <c r="L312">
        <v>49.03</v>
      </c>
      <c r="M312" t="s">
        <v>46</v>
      </c>
    </row>
    <row r="313" spans="1:13" x14ac:dyDescent="0.3">
      <c r="A313">
        <v>10162</v>
      </c>
      <c r="B313" t="s">
        <v>281</v>
      </c>
      <c r="C313" t="s">
        <v>385</v>
      </c>
      <c r="D313" t="s">
        <v>515</v>
      </c>
      <c r="E313" t="s">
        <v>43</v>
      </c>
      <c r="F313" t="s">
        <v>75</v>
      </c>
      <c r="G313" t="s">
        <v>76</v>
      </c>
      <c r="H313">
        <v>2</v>
      </c>
      <c r="I313">
        <v>22</v>
      </c>
      <c r="J313">
        <v>0</v>
      </c>
      <c r="K313">
        <v>44</v>
      </c>
      <c r="L313">
        <v>11.48</v>
      </c>
      <c r="M313" t="s">
        <v>52</v>
      </c>
    </row>
    <row r="314" spans="1:13" x14ac:dyDescent="0.3">
      <c r="A314">
        <v>10074</v>
      </c>
      <c r="B314" t="s">
        <v>577</v>
      </c>
      <c r="C314" t="s">
        <v>86</v>
      </c>
      <c r="D314" t="s">
        <v>136</v>
      </c>
      <c r="E314" t="s">
        <v>74</v>
      </c>
      <c r="F314" t="s">
        <v>50</v>
      </c>
      <c r="G314" t="s">
        <v>84</v>
      </c>
      <c r="H314">
        <v>4</v>
      </c>
      <c r="I314">
        <v>75.5</v>
      </c>
      <c r="J314">
        <v>0.1</v>
      </c>
      <c r="K314">
        <v>271.8</v>
      </c>
      <c r="L314">
        <v>51.33</v>
      </c>
      <c r="M314" t="s">
        <v>46</v>
      </c>
    </row>
    <row r="315" spans="1:13" x14ac:dyDescent="0.3">
      <c r="A315">
        <v>10235</v>
      </c>
      <c r="B315" t="s">
        <v>323</v>
      </c>
      <c r="C315" t="s">
        <v>426</v>
      </c>
      <c r="D315" t="s">
        <v>132</v>
      </c>
      <c r="E315" t="s">
        <v>125</v>
      </c>
      <c r="F315" t="s">
        <v>75</v>
      </c>
      <c r="G315" t="s">
        <v>126</v>
      </c>
      <c r="H315">
        <v>10</v>
      </c>
      <c r="I315">
        <v>12.99</v>
      </c>
      <c r="J315">
        <v>0</v>
      </c>
      <c r="K315">
        <v>129.9</v>
      </c>
      <c r="L315">
        <v>35.79</v>
      </c>
      <c r="M315" t="s">
        <v>46</v>
      </c>
    </row>
    <row r="316" spans="1:13" x14ac:dyDescent="0.3">
      <c r="A316">
        <v>10292</v>
      </c>
      <c r="B316" t="s">
        <v>578</v>
      </c>
      <c r="C316" t="s">
        <v>167</v>
      </c>
      <c r="D316" t="s">
        <v>345</v>
      </c>
      <c r="E316" t="s">
        <v>91</v>
      </c>
      <c r="F316" t="s">
        <v>75</v>
      </c>
      <c r="G316" t="s">
        <v>303</v>
      </c>
      <c r="H316">
        <v>2</v>
      </c>
      <c r="I316">
        <v>29.99</v>
      </c>
      <c r="J316">
        <v>0.1</v>
      </c>
      <c r="K316">
        <v>53.98</v>
      </c>
      <c r="L316">
        <v>16.36</v>
      </c>
      <c r="M316" t="s">
        <v>63</v>
      </c>
    </row>
    <row r="317" spans="1:13" x14ac:dyDescent="0.3">
      <c r="A317">
        <v>10210</v>
      </c>
      <c r="B317" t="s">
        <v>491</v>
      </c>
      <c r="C317" t="s">
        <v>406</v>
      </c>
      <c r="D317" t="s">
        <v>183</v>
      </c>
      <c r="E317" t="s">
        <v>91</v>
      </c>
      <c r="F317" t="s">
        <v>44</v>
      </c>
      <c r="G317" t="s">
        <v>146</v>
      </c>
      <c r="H317">
        <v>10</v>
      </c>
      <c r="I317">
        <v>3.1</v>
      </c>
      <c r="J317">
        <v>0.25</v>
      </c>
      <c r="K317">
        <v>23.25</v>
      </c>
      <c r="L317">
        <v>7.39</v>
      </c>
      <c r="M317" t="s">
        <v>46</v>
      </c>
    </row>
    <row r="318" spans="1:13" x14ac:dyDescent="0.3">
      <c r="A318">
        <v>10373</v>
      </c>
      <c r="B318" t="s">
        <v>579</v>
      </c>
      <c r="C318" t="s">
        <v>452</v>
      </c>
      <c r="D318" t="s">
        <v>322</v>
      </c>
      <c r="E318" t="s">
        <v>61</v>
      </c>
      <c r="F318" t="s">
        <v>75</v>
      </c>
      <c r="G318" t="s">
        <v>95</v>
      </c>
      <c r="H318">
        <v>6</v>
      </c>
      <c r="I318">
        <v>18.75</v>
      </c>
      <c r="J318">
        <v>0.05</v>
      </c>
      <c r="K318">
        <v>106.88</v>
      </c>
      <c r="L318">
        <v>25.88</v>
      </c>
      <c r="M318" t="s">
        <v>52</v>
      </c>
    </row>
    <row r="319" spans="1:13" x14ac:dyDescent="0.3">
      <c r="A319">
        <v>10103</v>
      </c>
      <c r="B319" t="s">
        <v>96</v>
      </c>
      <c r="C319" t="s">
        <v>290</v>
      </c>
      <c r="D319" t="s">
        <v>580</v>
      </c>
      <c r="E319" t="s">
        <v>61</v>
      </c>
      <c r="F319" t="s">
        <v>75</v>
      </c>
      <c r="G319" t="s">
        <v>126</v>
      </c>
      <c r="H319">
        <v>8</v>
      </c>
      <c r="I319">
        <v>12.99</v>
      </c>
      <c r="J319">
        <v>0</v>
      </c>
      <c r="K319">
        <v>103.92</v>
      </c>
      <c r="L319">
        <v>30.79</v>
      </c>
      <c r="M319" t="s">
        <v>52</v>
      </c>
    </row>
    <row r="320" spans="1:13" x14ac:dyDescent="0.3">
      <c r="A320">
        <v>10071</v>
      </c>
      <c r="B320" t="s">
        <v>581</v>
      </c>
      <c r="C320" t="s">
        <v>169</v>
      </c>
      <c r="D320" t="s">
        <v>162</v>
      </c>
      <c r="E320" t="s">
        <v>61</v>
      </c>
      <c r="F320" t="s">
        <v>56</v>
      </c>
      <c r="G320" t="s">
        <v>57</v>
      </c>
      <c r="H320">
        <v>1</v>
      </c>
      <c r="I320">
        <v>55</v>
      </c>
      <c r="J320">
        <v>0.25</v>
      </c>
      <c r="K320">
        <v>41.25</v>
      </c>
      <c r="L320">
        <v>10.029999999999999</v>
      </c>
      <c r="M320" t="s">
        <v>63</v>
      </c>
    </row>
    <row r="321" spans="1:13" x14ac:dyDescent="0.3">
      <c r="A321">
        <v>10078</v>
      </c>
      <c r="B321" t="s">
        <v>582</v>
      </c>
      <c r="C321" t="s">
        <v>383</v>
      </c>
      <c r="D321" t="s">
        <v>286</v>
      </c>
      <c r="E321" t="s">
        <v>91</v>
      </c>
      <c r="F321" t="s">
        <v>50</v>
      </c>
      <c r="G321" t="s">
        <v>62</v>
      </c>
      <c r="H321">
        <v>1</v>
      </c>
      <c r="I321">
        <v>65</v>
      </c>
      <c r="J321">
        <v>0</v>
      </c>
      <c r="K321">
        <v>65</v>
      </c>
      <c r="L321">
        <v>11.89</v>
      </c>
      <c r="M321" t="s">
        <v>63</v>
      </c>
    </row>
    <row r="322" spans="1:13" x14ac:dyDescent="0.3">
      <c r="A322">
        <v>10333</v>
      </c>
      <c r="B322" t="s">
        <v>583</v>
      </c>
      <c r="C322" t="s">
        <v>200</v>
      </c>
      <c r="D322" t="s">
        <v>584</v>
      </c>
      <c r="E322" t="s">
        <v>43</v>
      </c>
      <c r="F322" t="s">
        <v>50</v>
      </c>
      <c r="G322" t="s">
        <v>84</v>
      </c>
      <c r="H322">
        <v>8</v>
      </c>
      <c r="I322">
        <v>75.5</v>
      </c>
      <c r="J322">
        <v>0.15</v>
      </c>
      <c r="K322">
        <v>513.4</v>
      </c>
      <c r="L322">
        <v>89.82</v>
      </c>
      <c r="M322" t="s">
        <v>63</v>
      </c>
    </row>
    <row r="323" spans="1:13" x14ac:dyDescent="0.3">
      <c r="A323">
        <v>10212</v>
      </c>
      <c r="B323" t="s">
        <v>473</v>
      </c>
      <c r="C323" t="s">
        <v>48</v>
      </c>
      <c r="D323" t="s">
        <v>233</v>
      </c>
      <c r="E323" t="s">
        <v>74</v>
      </c>
      <c r="F323" t="s">
        <v>75</v>
      </c>
      <c r="G323" t="s">
        <v>303</v>
      </c>
      <c r="H323">
        <v>9</v>
      </c>
      <c r="I323">
        <v>29.99</v>
      </c>
      <c r="J323">
        <v>0.2</v>
      </c>
      <c r="K323">
        <v>215.93</v>
      </c>
      <c r="L323">
        <v>67.64</v>
      </c>
      <c r="M323" t="s">
        <v>63</v>
      </c>
    </row>
    <row r="324" spans="1:13" x14ac:dyDescent="0.3">
      <c r="A324">
        <v>10153</v>
      </c>
      <c r="B324" t="s">
        <v>147</v>
      </c>
      <c r="C324" t="s">
        <v>488</v>
      </c>
      <c r="D324" t="s">
        <v>424</v>
      </c>
      <c r="E324" t="s">
        <v>74</v>
      </c>
      <c r="F324" t="s">
        <v>56</v>
      </c>
      <c r="G324" t="s">
        <v>366</v>
      </c>
      <c r="H324">
        <v>6</v>
      </c>
      <c r="I324">
        <v>38.5</v>
      </c>
      <c r="J324">
        <v>0</v>
      </c>
      <c r="K324">
        <v>231</v>
      </c>
      <c r="L324">
        <v>55.23</v>
      </c>
      <c r="M324" t="s">
        <v>52</v>
      </c>
    </row>
    <row r="325" spans="1:13" x14ac:dyDescent="0.3">
      <c r="A325">
        <v>10272</v>
      </c>
      <c r="B325" t="s">
        <v>386</v>
      </c>
      <c r="C325" t="s">
        <v>476</v>
      </c>
      <c r="D325" t="s">
        <v>246</v>
      </c>
      <c r="E325" t="s">
        <v>43</v>
      </c>
      <c r="F325" t="s">
        <v>56</v>
      </c>
      <c r="G325" t="s">
        <v>149</v>
      </c>
      <c r="H325">
        <v>8</v>
      </c>
      <c r="I325">
        <v>42</v>
      </c>
      <c r="J325">
        <v>0.1</v>
      </c>
      <c r="K325">
        <v>302.39999999999998</v>
      </c>
      <c r="L325">
        <v>73.14</v>
      </c>
      <c r="M325" t="s">
        <v>46</v>
      </c>
    </row>
    <row r="326" spans="1:13" x14ac:dyDescent="0.3">
      <c r="A326">
        <v>10196</v>
      </c>
      <c r="B326" t="s">
        <v>47</v>
      </c>
      <c r="C326" t="s">
        <v>484</v>
      </c>
      <c r="D326" t="s">
        <v>349</v>
      </c>
      <c r="E326" t="s">
        <v>43</v>
      </c>
      <c r="F326" t="s">
        <v>44</v>
      </c>
      <c r="G326" t="s">
        <v>156</v>
      </c>
      <c r="H326">
        <v>10</v>
      </c>
      <c r="I326">
        <v>27</v>
      </c>
      <c r="J326">
        <v>0.2</v>
      </c>
      <c r="K326">
        <v>216</v>
      </c>
      <c r="L326">
        <v>69.89</v>
      </c>
      <c r="M326" t="s">
        <v>46</v>
      </c>
    </row>
    <row r="327" spans="1:13" x14ac:dyDescent="0.3">
      <c r="A327">
        <v>10062</v>
      </c>
      <c r="B327" t="s">
        <v>585</v>
      </c>
      <c r="C327" t="s">
        <v>48</v>
      </c>
      <c r="D327" t="s">
        <v>224</v>
      </c>
      <c r="E327" t="s">
        <v>74</v>
      </c>
      <c r="F327" t="s">
        <v>44</v>
      </c>
      <c r="G327" t="s">
        <v>156</v>
      </c>
      <c r="H327">
        <v>5</v>
      </c>
      <c r="I327">
        <v>27</v>
      </c>
      <c r="J327">
        <v>0.2</v>
      </c>
      <c r="K327">
        <v>108</v>
      </c>
      <c r="L327">
        <v>34.99</v>
      </c>
      <c r="M327" t="s">
        <v>63</v>
      </c>
    </row>
    <row r="328" spans="1:13" x14ac:dyDescent="0.3">
      <c r="A328">
        <v>10257</v>
      </c>
      <c r="B328" t="s">
        <v>222</v>
      </c>
      <c r="C328" t="s">
        <v>486</v>
      </c>
      <c r="D328" t="s">
        <v>586</v>
      </c>
      <c r="E328" t="s">
        <v>43</v>
      </c>
      <c r="F328" t="s">
        <v>44</v>
      </c>
      <c r="G328" t="s">
        <v>106</v>
      </c>
      <c r="H328">
        <v>10</v>
      </c>
      <c r="I328">
        <v>6.75</v>
      </c>
      <c r="J328">
        <v>0</v>
      </c>
      <c r="K328">
        <v>67.5</v>
      </c>
      <c r="L328">
        <v>21.35</v>
      </c>
      <c r="M328" t="s">
        <v>63</v>
      </c>
    </row>
    <row r="329" spans="1:13" x14ac:dyDescent="0.3">
      <c r="A329">
        <v>10100</v>
      </c>
      <c r="B329" t="s">
        <v>557</v>
      </c>
      <c r="C329" t="s">
        <v>574</v>
      </c>
      <c r="D329" t="s">
        <v>587</v>
      </c>
      <c r="E329" t="s">
        <v>91</v>
      </c>
      <c r="F329" t="s">
        <v>44</v>
      </c>
      <c r="G329" t="s">
        <v>67</v>
      </c>
      <c r="H329">
        <v>8</v>
      </c>
      <c r="I329">
        <v>5.5</v>
      </c>
      <c r="J329">
        <v>0</v>
      </c>
      <c r="K329">
        <v>44</v>
      </c>
      <c r="L329">
        <v>15.52</v>
      </c>
      <c r="M329" t="s">
        <v>46</v>
      </c>
    </row>
    <row r="330" spans="1:13" x14ac:dyDescent="0.3">
      <c r="A330">
        <v>10355</v>
      </c>
      <c r="B330" t="s">
        <v>477</v>
      </c>
      <c r="C330" t="s">
        <v>177</v>
      </c>
      <c r="D330" t="s">
        <v>588</v>
      </c>
      <c r="E330" t="s">
        <v>43</v>
      </c>
      <c r="F330" t="s">
        <v>75</v>
      </c>
      <c r="G330" t="s">
        <v>126</v>
      </c>
      <c r="H330">
        <v>7</v>
      </c>
      <c r="I330">
        <v>12.99</v>
      </c>
      <c r="J330">
        <v>0.25</v>
      </c>
      <c r="K330">
        <v>68.2</v>
      </c>
      <c r="L330">
        <v>20.43</v>
      </c>
      <c r="M330" t="s">
        <v>52</v>
      </c>
    </row>
    <row r="331" spans="1:13" x14ac:dyDescent="0.3">
      <c r="A331">
        <v>10037</v>
      </c>
      <c r="B331" t="s">
        <v>215</v>
      </c>
      <c r="C331" t="s">
        <v>519</v>
      </c>
      <c r="D331" t="s">
        <v>216</v>
      </c>
      <c r="E331" t="s">
        <v>125</v>
      </c>
      <c r="F331" t="s">
        <v>56</v>
      </c>
      <c r="G331" t="s">
        <v>217</v>
      </c>
      <c r="H331">
        <v>7</v>
      </c>
      <c r="I331">
        <v>8</v>
      </c>
      <c r="J331">
        <v>0</v>
      </c>
      <c r="K331">
        <v>56</v>
      </c>
      <c r="L331">
        <v>10.89</v>
      </c>
      <c r="M331" t="s">
        <v>63</v>
      </c>
    </row>
    <row r="332" spans="1:13" x14ac:dyDescent="0.3">
      <c r="A332">
        <v>10318</v>
      </c>
      <c r="B332" t="s">
        <v>585</v>
      </c>
      <c r="C332" t="s">
        <v>179</v>
      </c>
      <c r="D332" t="s">
        <v>589</v>
      </c>
      <c r="E332" t="s">
        <v>91</v>
      </c>
      <c r="F332" t="s">
        <v>75</v>
      </c>
      <c r="G332" t="s">
        <v>76</v>
      </c>
      <c r="H332">
        <v>3</v>
      </c>
      <c r="I332">
        <v>22</v>
      </c>
      <c r="J332">
        <v>0</v>
      </c>
      <c r="K332">
        <v>66</v>
      </c>
      <c r="L332">
        <v>15.78</v>
      </c>
      <c r="M332" t="s">
        <v>63</v>
      </c>
    </row>
    <row r="333" spans="1:13" x14ac:dyDescent="0.3">
      <c r="A333">
        <v>10298</v>
      </c>
      <c r="B333" t="s">
        <v>460</v>
      </c>
      <c r="C333" t="s">
        <v>82</v>
      </c>
      <c r="D333" t="s">
        <v>482</v>
      </c>
      <c r="E333" t="s">
        <v>61</v>
      </c>
      <c r="F333" t="s">
        <v>50</v>
      </c>
      <c r="G333" t="s">
        <v>99</v>
      </c>
      <c r="H333">
        <v>5</v>
      </c>
      <c r="I333">
        <v>15</v>
      </c>
      <c r="J333">
        <v>0.2</v>
      </c>
      <c r="K333">
        <v>60</v>
      </c>
      <c r="L333">
        <v>10.4</v>
      </c>
      <c r="M333" t="s">
        <v>52</v>
      </c>
    </row>
    <row r="334" spans="1:13" x14ac:dyDescent="0.3">
      <c r="A334">
        <v>10377</v>
      </c>
      <c r="B334" t="s">
        <v>289</v>
      </c>
      <c r="C334" t="s">
        <v>89</v>
      </c>
      <c r="D334" t="s">
        <v>590</v>
      </c>
      <c r="E334" t="s">
        <v>91</v>
      </c>
      <c r="F334" t="s">
        <v>75</v>
      </c>
      <c r="G334" t="s">
        <v>202</v>
      </c>
      <c r="H334">
        <v>4</v>
      </c>
      <c r="I334">
        <v>34.5</v>
      </c>
      <c r="J334">
        <v>0.05</v>
      </c>
      <c r="K334">
        <v>131.1</v>
      </c>
      <c r="L334">
        <v>40.42</v>
      </c>
      <c r="M334" t="s">
        <v>52</v>
      </c>
    </row>
    <row r="335" spans="1:13" x14ac:dyDescent="0.3">
      <c r="A335">
        <v>10325</v>
      </c>
      <c r="B335" t="s">
        <v>591</v>
      </c>
      <c r="C335" t="s">
        <v>387</v>
      </c>
      <c r="D335" t="s">
        <v>592</v>
      </c>
      <c r="E335" t="s">
        <v>43</v>
      </c>
      <c r="F335" t="s">
        <v>56</v>
      </c>
      <c r="G335" t="s">
        <v>133</v>
      </c>
      <c r="H335">
        <v>8</v>
      </c>
      <c r="I335">
        <v>9.99</v>
      </c>
      <c r="J335">
        <v>0.1</v>
      </c>
      <c r="K335">
        <v>71.930000000000007</v>
      </c>
      <c r="L335">
        <v>17.12</v>
      </c>
      <c r="M335" t="s">
        <v>63</v>
      </c>
    </row>
    <row r="336" spans="1:13" x14ac:dyDescent="0.3">
      <c r="A336">
        <v>10028</v>
      </c>
      <c r="B336" t="s">
        <v>137</v>
      </c>
      <c r="C336" t="s">
        <v>138</v>
      </c>
      <c r="D336" t="s">
        <v>515</v>
      </c>
      <c r="E336" t="s">
        <v>43</v>
      </c>
      <c r="F336" t="s">
        <v>44</v>
      </c>
      <c r="G336" t="s">
        <v>67</v>
      </c>
      <c r="H336">
        <v>1</v>
      </c>
      <c r="I336">
        <v>5.5</v>
      </c>
      <c r="J336">
        <v>0.25</v>
      </c>
      <c r="K336">
        <v>4.12</v>
      </c>
      <c r="L336">
        <v>1.44</v>
      </c>
      <c r="M336" t="s">
        <v>63</v>
      </c>
    </row>
    <row r="337" spans="1:13" x14ac:dyDescent="0.3">
      <c r="A337">
        <v>10241</v>
      </c>
      <c r="B337" t="s">
        <v>593</v>
      </c>
      <c r="C337" t="s">
        <v>572</v>
      </c>
      <c r="D337" t="s">
        <v>224</v>
      </c>
      <c r="E337" t="s">
        <v>91</v>
      </c>
      <c r="F337" t="s">
        <v>50</v>
      </c>
      <c r="G337" t="s">
        <v>84</v>
      </c>
      <c r="H337">
        <v>4</v>
      </c>
      <c r="I337">
        <v>75.5</v>
      </c>
      <c r="J337">
        <v>0.1</v>
      </c>
      <c r="K337">
        <v>271.8</v>
      </c>
      <c r="L337">
        <v>44.57</v>
      </c>
      <c r="M337" t="s">
        <v>52</v>
      </c>
    </row>
    <row r="338" spans="1:13" x14ac:dyDescent="0.3">
      <c r="A338">
        <v>10061</v>
      </c>
      <c r="B338" t="s">
        <v>594</v>
      </c>
      <c r="C338" t="s">
        <v>101</v>
      </c>
      <c r="D338" t="s">
        <v>233</v>
      </c>
      <c r="E338" t="s">
        <v>43</v>
      </c>
      <c r="F338" t="s">
        <v>56</v>
      </c>
      <c r="G338" t="s">
        <v>149</v>
      </c>
      <c r="H338">
        <v>8</v>
      </c>
      <c r="I338">
        <v>42</v>
      </c>
      <c r="J338">
        <v>0</v>
      </c>
      <c r="K338">
        <v>336</v>
      </c>
      <c r="L338">
        <v>63.95</v>
      </c>
      <c r="M338" t="s">
        <v>63</v>
      </c>
    </row>
    <row r="339" spans="1:13" x14ac:dyDescent="0.3">
      <c r="A339">
        <v>10238</v>
      </c>
      <c r="B339" t="s">
        <v>573</v>
      </c>
      <c r="C339" t="s">
        <v>595</v>
      </c>
      <c r="D339" t="s">
        <v>550</v>
      </c>
      <c r="E339" t="s">
        <v>74</v>
      </c>
      <c r="F339" t="s">
        <v>44</v>
      </c>
      <c r="G339" t="s">
        <v>67</v>
      </c>
      <c r="H339">
        <v>9</v>
      </c>
      <c r="I339">
        <v>5.5</v>
      </c>
      <c r="J339">
        <v>0</v>
      </c>
      <c r="K339">
        <v>49.5</v>
      </c>
      <c r="L339">
        <v>17.98</v>
      </c>
      <c r="M339" t="s">
        <v>52</v>
      </c>
    </row>
    <row r="340" spans="1:13" x14ac:dyDescent="0.3">
      <c r="A340">
        <v>10357</v>
      </c>
      <c r="B340" t="s">
        <v>551</v>
      </c>
      <c r="C340" t="s">
        <v>373</v>
      </c>
      <c r="D340" t="s">
        <v>155</v>
      </c>
      <c r="E340" t="s">
        <v>74</v>
      </c>
      <c r="F340" t="s">
        <v>44</v>
      </c>
      <c r="G340" t="s">
        <v>67</v>
      </c>
      <c r="H340">
        <v>2</v>
      </c>
      <c r="I340">
        <v>5.5</v>
      </c>
      <c r="J340">
        <v>0.15</v>
      </c>
      <c r="K340">
        <v>9.35</v>
      </c>
      <c r="L340">
        <v>2.95</v>
      </c>
      <c r="M340" t="s">
        <v>46</v>
      </c>
    </row>
    <row r="341" spans="1:13" x14ac:dyDescent="0.3">
      <c r="A341">
        <v>10300</v>
      </c>
      <c r="B341" t="s">
        <v>596</v>
      </c>
      <c r="C341" t="s">
        <v>400</v>
      </c>
      <c r="E341" t="s">
        <v>74</v>
      </c>
      <c r="F341" t="s">
        <v>75</v>
      </c>
      <c r="G341" t="s">
        <v>303</v>
      </c>
      <c r="H341">
        <v>7</v>
      </c>
      <c r="I341">
        <v>29.99</v>
      </c>
      <c r="J341">
        <v>0.05</v>
      </c>
      <c r="K341">
        <v>199.43</v>
      </c>
      <c r="L341">
        <v>63.68</v>
      </c>
      <c r="M341" t="s">
        <v>52</v>
      </c>
    </row>
    <row r="342" spans="1:13" x14ac:dyDescent="0.3">
      <c r="A342">
        <v>10134</v>
      </c>
      <c r="B342" t="s">
        <v>369</v>
      </c>
      <c r="C342" t="s">
        <v>294</v>
      </c>
      <c r="D342" t="s">
        <v>308</v>
      </c>
      <c r="E342" t="s">
        <v>74</v>
      </c>
      <c r="F342" t="s">
        <v>50</v>
      </c>
      <c r="G342" t="s">
        <v>84</v>
      </c>
      <c r="H342">
        <v>9</v>
      </c>
      <c r="I342">
        <v>75.5</v>
      </c>
      <c r="J342">
        <v>0</v>
      </c>
      <c r="K342">
        <v>679.5</v>
      </c>
      <c r="L342">
        <v>126.31</v>
      </c>
      <c r="M342" t="s">
        <v>63</v>
      </c>
    </row>
    <row r="343" spans="1:13" x14ac:dyDescent="0.3">
      <c r="A343">
        <v>10191</v>
      </c>
      <c r="B343" t="s">
        <v>100</v>
      </c>
      <c r="C343" t="s">
        <v>260</v>
      </c>
      <c r="D343" t="s">
        <v>370</v>
      </c>
      <c r="E343" t="s">
        <v>125</v>
      </c>
      <c r="F343" t="s">
        <v>44</v>
      </c>
      <c r="G343" t="s">
        <v>106</v>
      </c>
      <c r="H343">
        <v>1</v>
      </c>
      <c r="I343">
        <v>6.75</v>
      </c>
      <c r="J343">
        <v>0</v>
      </c>
      <c r="K343">
        <v>6.75</v>
      </c>
      <c r="L343">
        <v>2.0699999999999998</v>
      </c>
      <c r="M343" t="s">
        <v>46</v>
      </c>
    </row>
    <row r="344" spans="1:13" x14ac:dyDescent="0.3">
      <c r="A344">
        <v>10170</v>
      </c>
      <c r="B344" t="s">
        <v>597</v>
      </c>
      <c r="C344" t="s">
        <v>450</v>
      </c>
      <c r="D344" t="s">
        <v>598</v>
      </c>
      <c r="E344" t="s">
        <v>74</v>
      </c>
      <c r="F344" t="s">
        <v>44</v>
      </c>
      <c r="G344" t="s">
        <v>67</v>
      </c>
      <c r="H344">
        <v>6</v>
      </c>
      <c r="I344">
        <v>5.5</v>
      </c>
      <c r="J344">
        <v>0</v>
      </c>
      <c r="K344">
        <v>33</v>
      </c>
      <c r="L344">
        <v>11.01</v>
      </c>
      <c r="M344" t="s">
        <v>46</v>
      </c>
    </row>
    <row r="345" spans="1:13" x14ac:dyDescent="0.3">
      <c r="A345">
        <v>10216</v>
      </c>
      <c r="B345" t="s">
        <v>599</v>
      </c>
      <c r="C345" t="s">
        <v>600</v>
      </c>
      <c r="D345" t="s">
        <v>499</v>
      </c>
      <c r="E345" t="s">
        <v>61</v>
      </c>
      <c r="F345" t="s">
        <v>56</v>
      </c>
      <c r="G345" t="s">
        <v>366</v>
      </c>
      <c r="H345">
        <v>4</v>
      </c>
      <c r="I345">
        <v>38.5</v>
      </c>
      <c r="J345">
        <v>0.1</v>
      </c>
      <c r="K345">
        <v>138.6</v>
      </c>
      <c r="L345">
        <v>28.86</v>
      </c>
      <c r="M345" t="s">
        <v>46</v>
      </c>
    </row>
    <row r="346" spans="1:13" x14ac:dyDescent="0.3">
      <c r="A346">
        <v>10158</v>
      </c>
      <c r="B346" t="s">
        <v>353</v>
      </c>
      <c r="C346" t="s">
        <v>503</v>
      </c>
      <c r="D346" t="s">
        <v>208</v>
      </c>
      <c r="E346" t="s">
        <v>43</v>
      </c>
      <c r="F346" t="s">
        <v>44</v>
      </c>
      <c r="G346" t="s">
        <v>106</v>
      </c>
      <c r="H346">
        <v>3</v>
      </c>
      <c r="I346">
        <v>6.75</v>
      </c>
      <c r="J346">
        <v>0.2</v>
      </c>
      <c r="K346">
        <v>16.2</v>
      </c>
      <c r="L346">
        <v>5.08</v>
      </c>
      <c r="M346" t="s">
        <v>63</v>
      </c>
    </row>
    <row r="347" spans="1:13" x14ac:dyDescent="0.3">
      <c r="A347">
        <v>10115</v>
      </c>
      <c r="B347" t="s">
        <v>601</v>
      </c>
      <c r="C347" t="s">
        <v>602</v>
      </c>
      <c r="D347" t="s">
        <v>603</v>
      </c>
      <c r="E347" t="s">
        <v>74</v>
      </c>
      <c r="F347" t="s">
        <v>56</v>
      </c>
      <c r="G347" t="s">
        <v>57</v>
      </c>
      <c r="H347">
        <v>2</v>
      </c>
      <c r="I347">
        <v>55</v>
      </c>
      <c r="J347">
        <v>0.05</v>
      </c>
      <c r="K347">
        <v>104.5</v>
      </c>
      <c r="L347">
        <v>22.79</v>
      </c>
      <c r="M347" t="s">
        <v>52</v>
      </c>
    </row>
    <row r="348" spans="1:13" x14ac:dyDescent="0.3">
      <c r="A348">
        <v>10182</v>
      </c>
      <c r="B348" t="s">
        <v>215</v>
      </c>
      <c r="C348" t="s">
        <v>108</v>
      </c>
      <c r="D348" t="s">
        <v>121</v>
      </c>
      <c r="E348" t="s">
        <v>74</v>
      </c>
      <c r="F348" t="s">
        <v>56</v>
      </c>
      <c r="G348" t="s">
        <v>149</v>
      </c>
      <c r="H348">
        <v>10</v>
      </c>
      <c r="I348">
        <v>42</v>
      </c>
      <c r="J348">
        <v>0.1</v>
      </c>
      <c r="K348">
        <v>378</v>
      </c>
      <c r="L348">
        <v>88</v>
      </c>
      <c r="M348" t="s">
        <v>63</v>
      </c>
    </row>
    <row r="349" spans="1:13" x14ac:dyDescent="0.3">
      <c r="A349">
        <v>10068</v>
      </c>
      <c r="B349" t="s">
        <v>440</v>
      </c>
      <c r="C349" t="s">
        <v>441</v>
      </c>
      <c r="D349" t="s">
        <v>442</v>
      </c>
      <c r="E349" t="s">
        <v>61</v>
      </c>
      <c r="F349" t="s">
        <v>44</v>
      </c>
      <c r="G349" t="s">
        <v>67</v>
      </c>
      <c r="H349">
        <v>9</v>
      </c>
      <c r="I349">
        <v>5.5</v>
      </c>
      <c r="J349">
        <v>0.15</v>
      </c>
      <c r="K349">
        <v>42.07</v>
      </c>
      <c r="L349">
        <v>12.57</v>
      </c>
      <c r="M349" t="s">
        <v>63</v>
      </c>
    </row>
    <row r="350" spans="1:13" x14ac:dyDescent="0.3">
      <c r="A350">
        <v>10046</v>
      </c>
      <c r="B350" t="s">
        <v>388</v>
      </c>
      <c r="C350" t="s">
        <v>484</v>
      </c>
      <c r="D350" t="s">
        <v>49</v>
      </c>
      <c r="E350" t="s">
        <v>125</v>
      </c>
      <c r="F350" t="s">
        <v>44</v>
      </c>
      <c r="G350" t="s">
        <v>156</v>
      </c>
      <c r="H350">
        <v>2</v>
      </c>
      <c r="I350">
        <v>27</v>
      </c>
      <c r="J350">
        <v>0.15</v>
      </c>
      <c r="K350">
        <v>45.9</v>
      </c>
      <c r="L350">
        <v>16.66</v>
      </c>
      <c r="M350" t="s">
        <v>46</v>
      </c>
    </row>
    <row r="351" spans="1:13" x14ac:dyDescent="0.3">
      <c r="A351">
        <v>10005</v>
      </c>
      <c r="B351" t="s">
        <v>480</v>
      </c>
      <c r="C351" t="s">
        <v>164</v>
      </c>
      <c r="D351" t="s">
        <v>277</v>
      </c>
      <c r="E351" t="s">
        <v>91</v>
      </c>
      <c r="F351" t="s">
        <v>44</v>
      </c>
      <c r="G351" t="s">
        <v>67</v>
      </c>
      <c r="H351">
        <v>8</v>
      </c>
      <c r="I351">
        <v>5.5</v>
      </c>
      <c r="J351">
        <v>0</v>
      </c>
      <c r="K351">
        <v>44</v>
      </c>
      <c r="L351">
        <v>17.59</v>
      </c>
      <c r="M351" t="s">
        <v>46</v>
      </c>
    </row>
    <row r="352" spans="1:13" x14ac:dyDescent="0.3">
      <c r="A352">
        <v>10172</v>
      </c>
      <c r="B352" t="s">
        <v>604</v>
      </c>
      <c r="C352" t="s">
        <v>325</v>
      </c>
      <c r="D352" t="s">
        <v>132</v>
      </c>
      <c r="E352" t="s">
        <v>125</v>
      </c>
      <c r="F352" t="s">
        <v>50</v>
      </c>
      <c r="G352" t="s">
        <v>80</v>
      </c>
      <c r="H352">
        <v>8</v>
      </c>
      <c r="I352">
        <v>89</v>
      </c>
      <c r="J352">
        <v>0</v>
      </c>
      <c r="K352">
        <v>712</v>
      </c>
      <c r="L352">
        <v>120.22</v>
      </c>
      <c r="M352" t="s">
        <v>63</v>
      </c>
    </row>
    <row r="353" spans="1:13" x14ac:dyDescent="0.3">
      <c r="A353">
        <v>10089</v>
      </c>
      <c r="B353" t="s">
        <v>339</v>
      </c>
      <c r="C353" t="s">
        <v>340</v>
      </c>
      <c r="D353" t="s">
        <v>341</v>
      </c>
      <c r="E353" t="s">
        <v>61</v>
      </c>
      <c r="F353" t="s">
        <v>56</v>
      </c>
      <c r="G353" t="s">
        <v>57</v>
      </c>
      <c r="H353">
        <v>3</v>
      </c>
      <c r="I353">
        <v>55</v>
      </c>
      <c r="J353">
        <v>0.2</v>
      </c>
      <c r="K353">
        <v>132</v>
      </c>
      <c r="L353">
        <v>30.21</v>
      </c>
      <c r="M353" t="s">
        <v>52</v>
      </c>
    </row>
    <row r="354" spans="1:13" x14ac:dyDescent="0.3">
      <c r="A354">
        <v>10094</v>
      </c>
      <c r="B354" t="s">
        <v>380</v>
      </c>
      <c r="C354" t="s">
        <v>605</v>
      </c>
      <c r="D354" t="s">
        <v>266</v>
      </c>
      <c r="E354" t="s">
        <v>91</v>
      </c>
      <c r="F354" t="s">
        <v>50</v>
      </c>
      <c r="G354" t="s">
        <v>51</v>
      </c>
      <c r="H354">
        <v>5</v>
      </c>
      <c r="I354">
        <v>120</v>
      </c>
      <c r="J354">
        <v>0</v>
      </c>
      <c r="K354">
        <v>600</v>
      </c>
      <c r="L354">
        <v>109.69</v>
      </c>
      <c r="M354" t="s">
        <v>63</v>
      </c>
    </row>
    <row r="355" spans="1:13" x14ac:dyDescent="0.3">
      <c r="A355">
        <v>10287</v>
      </c>
      <c r="B355" t="s">
        <v>579</v>
      </c>
      <c r="C355" t="s">
        <v>498</v>
      </c>
      <c r="D355" t="s">
        <v>379</v>
      </c>
      <c r="E355" t="s">
        <v>125</v>
      </c>
      <c r="F355" t="s">
        <v>56</v>
      </c>
      <c r="G355" t="s">
        <v>366</v>
      </c>
      <c r="H355">
        <v>10</v>
      </c>
      <c r="I355">
        <v>38.5</v>
      </c>
      <c r="J355">
        <v>0</v>
      </c>
      <c r="K355">
        <v>385</v>
      </c>
      <c r="L355">
        <v>86.6</v>
      </c>
      <c r="M355" t="s">
        <v>52</v>
      </c>
    </row>
    <row r="356" spans="1:13" x14ac:dyDescent="0.3">
      <c r="A356">
        <v>10263</v>
      </c>
      <c r="B356" t="s">
        <v>96</v>
      </c>
      <c r="C356" t="s">
        <v>367</v>
      </c>
      <c r="D356" t="s">
        <v>420</v>
      </c>
      <c r="E356" t="s">
        <v>43</v>
      </c>
      <c r="F356" t="s">
        <v>44</v>
      </c>
      <c r="G356" t="s">
        <v>156</v>
      </c>
      <c r="H356">
        <v>6</v>
      </c>
      <c r="I356">
        <v>27</v>
      </c>
      <c r="J356">
        <v>0.1</v>
      </c>
      <c r="K356">
        <v>145.80000000000001</v>
      </c>
      <c r="L356">
        <v>44.94</v>
      </c>
      <c r="M356" t="s">
        <v>52</v>
      </c>
    </row>
    <row r="357" spans="1:13" x14ac:dyDescent="0.3">
      <c r="A357">
        <v>10066</v>
      </c>
      <c r="B357" t="s">
        <v>606</v>
      </c>
      <c r="C357" t="s">
        <v>600</v>
      </c>
      <c r="D357" t="s">
        <v>607</v>
      </c>
      <c r="E357" t="s">
        <v>43</v>
      </c>
      <c r="F357" t="s">
        <v>44</v>
      </c>
      <c r="G357" t="s">
        <v>106</v>
      </c>
      <c r="H357">
        <v>7</v>
      </c>
      <c r="I357">
        <v>6.75</v>
      </c>
      <c r="J357">
        <v>0.2</v>
      </c>
      <c r="K357">
        <v>37.799999999999997</v>
      </c>
      <c r="L357">
        <v>14.98</v>
      </c>
      <c r="M357" t="s">
        <v>46</v>
      </c>
    </row>
    <row r="358" spans="1:13" x14ac:dyDescent="0.3">
      <c r="A358">
        <v>10242</v>
      </c>
      <c r="B358" t="s">
        <v>577</v>
      </c>
      <c r="C358" t="s">
        <v>531</v>
      </c>
      <c r="D358" t="s">
        <v>259</v>
      </c>
      <c r="E358" t="s">
        <v>91</v>
      </c>
      <c r="F358" t="s">
        <v>50</v>
      </c>
      <c r="G358" t="s">
        <v>80</v>
      </c>
      <c r="H358">
        <v>5</v>
      </c>
      <c r="I358">
        <v>89</v>
      </c>
      <c r="J358">
        <v>0.2</v>
      </c>
      <c r="K358">
        <v>356</v>
      </c>
      <c r="L358">
        <v>67.42</v>
      </c>
      <c r="M358" t="s">
        <v>63</v>
      </c>
    </row>
    <row r="359" spans="1:13" x14ac:dyDescent="0.3">
      <c r="A359">
        <v>10050</v>
      </c>
      <c r="B359" t="s">
        <v>608</v>
      </c>
      <c r="C359" t="s">
        <v>250</v>
      </c>
      <c r="D359" t="s">
        <v>306</v>
      </c>
      <c r="E359" t="s">
        <v>91</v>
      </c>
      <c r="F359" t="s">
        <v>44</v>
      </c>
      <c r="G359" t="s">
        <v>67</v>
      </c>
      <c r="H359">
        <v>4</v>
      </c>
      <c r="I359">
        <v>5.5</v>
      </c>
      <c r="J359">
        <v>0.1</v>
      </c>
      <c r="K359">
        <v>19.8</v>
      </c>
      <c r="L359">
        <v>6.36</v>
      </c>
      <c r="M359" t="s">
        <v>63</v>
      </c>
    </row>
    <row r="360" spans="1:13" x14ac:dyDescent="0.3">
      <c r="A360">
        <v>10151</v>
      </c>
      <c r="B360" t="s">
        <v>609</v>
      </c>
      <c r="C360" t="s">
        <v>396</v>
      </c>
      <c r="D360" t="s">
        <v>424</v>
      </c>
      <c r="E360" t="s">
        <v>61</v>
      </c>
      <c r="F360" t="s">
        <v>50</v>
      </c>
      <c r="G360" t="s">
        <v>80</v>
      </c>
      <c r="H360">
        <v>8</v>
      </c>
      <c r="I360">
        <v>89</v>
      </c>
      <c r="J360">
        <v>0</v>
      </c>
      <c r="K360">
        <v>712</v>
      </c>
      <c r="L360">
        <v>140.12</v>
      </c>
      <c r="M360" t="s">
        <v>46</v>
      </c>
    </row>
    <row r="361" spans="1:13" x14ac:dyDescent="0.3">
      <c r="A361">
        <v>10093</v>
      </c>
      <c r="B361" t="s">
        <v>318</v>
      </c>
      <c r="C361" t="s">
        <v>310</v>
      </c>
      <c r="D361" t="s">
        <v>610</v>
      </c>
      <c r="E361" t="s">
        <v>43</v>
      </c>
      <c r="F361" t="s">
        <v>50</v>
      </c>
      <c r="G361" t="s">
        <v>62</v>
      </c>
      <c r="H361">
        <v>9</v>
      </c>
      <c r="I361">
        <v>65</v>
      </c>
      <c r="J361">
        <v>0</v>
      </c>
      <c r="K361">
        <v>585</v>
      </c>
      <c r="L361">
        <v>118.81</v>
      </c>
      <c r="M361" t="s">
        <v>63</v>
      </c>
    </row>
    <row r="362" spans="1:13" x14ac:dyDescent="0.3">
      <c r="A362">
        <v>10286</v>
      </c>
      <c r="B362" t="s">
        <v>601</v>
      </c>
      <c r="C362" t="s">
        <v>301</v>
      </c>
      <c r="D362" t="s">
        <v>357</v>
      </c>
      <c r="E362" t="s">
        <v>74</v>
      </c>
      <c r="F362" t="s">
        <v>75</v>
      </c>
      <c r="G362" t="s">
        <v>202</v>
      </c>
      <c r="H362">
        <v>6</v>
      </c>
      <c r="I362">
        <v>34.5</v>
      </c>
      <c r="J362">
        <v>0</v>
      </c>
      <c r="K362">
        <v>207</v>
      </c>
      <c r="L362">
        <v>53.41</v>
      </c>
      <c r="M362" t="s">
        <v>52</v>
      </c>
    </row>
    <row r="363" spans="1:13" x14ac:dyDescent="0.3">
      <c r="A363">
        <v>10337</v>
      </c>
      <c r="B363" t="s">
        <v>291</v>
      </c>
      <c r="C363" t="s">
        <v>519</v>
      </c>
      <c r="D363" t="s">
        <v>335</v>
      </c>
      <c r="E363" t="s">
        <v>43</v>
      </c>
      <c r="F363" t="s">
        <v>50</v>
      </c>
      <c r="G363" t="s">
        <v>51</v>
      </c>
      <c r="H363">
        <v>4</v>
      </c>
      <c r="I363">
        <v>120</v>
      </c>
      <c r="J363">
        <v>0.2</v>
      </c>
      <c r="K363">
        <v>384</v>
      </c>
      <c r="L363">
        <v>66.47</v>
      </c>
      <c r="M363" t="s">
        <v>46</v>
      </c>
    </row>
    <row r="364" spans="1:13" x14ac:dyDescent="0.3">
      <c r="A364">
        <v>10088</v>
      </c>
      <c r="B364" t="s">
        <v>594</v>
      </c>
      <c r="C364" t="s">
        <v>595</v>
      </c>
      <c r="D364" t="s">
        <v>412</v>
      </c>
      <c r="E364" t="s">
        <v>43</v>
      </c>
      <c r="F364" t="s">
        <v>50</v>
      </c>
      <c r="G364" t="s">
        <v>99</v>
      </c>
      <c r="H364">
        <v>10</v>
      </c>
      <c r="I364">
        <v>15</v>
      </c>
      <c r="J364">
        <v>0</v>
      </c>
      <c r="K364">
        <v>150</v>
      </c>
      <c r="L364">
        <v>31.05</v>
      </c>
      <c r="M364" t="s">
        <v>63</v>
      </c>
    </row>
    <row r="365" spans="1:13" x14ac:dyDescent="0.3">
      <c r="A365">
        <v>10154</v>
      </c>
      <c r="B365" t="s">
        <v>513</v>
      </c>
      <c r="C365" t="s">
        <v>72</v>
      </c>
      <c r="D365" t="s">
        <v>512</v>
      </c>
      <c r="E365" t="s">
        <v>91</v>
      </c>
      <c r="F365" t="s">
        <v>56</v>
      </c>
      <c r="G365" t="s">
        <v>57</v>
      </c>
      <c r="H365">
        <v>5</v>
      </c>
      <c r="I365">
        <v>55</v>
      </c>
      <c r="J365">
        <v>0</v>
      </c>
      <c r="K365">
        <v>275</v>
      </c>
      <c r="L365">
        <v>57.48</v>
      </c>
      <c r="M365" t="s">
        <v>52</v>
      </c>
    </row>
    <row r="366" spans="1:13" x14ac:dyDescent="0.3">
      <c r="A366">
        <v>10260</v>
      </c>
      <c r="B366" t="s">
        <v>542</v>
      </c>
      <c r="C366" t="s">
        <v>391</v>
      </c>
      <c r="D366" t="s">
        <v>610</v>
      </c>
      <c r="E366" t="s">
        <v>91</v>
      </c>
      <c r="F366" t="s">
        <v>56</v>
      </c>
      <c r="G366" t="s">
        <v>57</v>
      </c>
      <c r="H366">
        <v>1</v>
      </c>
      <c r="I366">
        <v>55</v>
      </c>
      <c r="J366">
        <v>0.1</v>
      </c>
      <c r="K366">
        <v>49.5</v>
      </c>
      <c r="L366">
        <v>11.82</v>
      </c>
      <c r="M366" t="s">
        <v>63</v>
      </c>
    </row>
    <row r="367" spans="1:13" x14ac:dyDescent="0.3">
      <c r="A367">
        <v>10184</v>
      </c>
      <c r="B367" t="s">
        <v>611</v>
      </c>
      <c r="C367" t="s">
        <v>117</v>
      </c>
      <c r="D367" t="s">
        <v>152</v>
      </c>
      <c r="E367" t="s">
        <v>91</v>
      </c>
      <c r="F367" t="s">
        <v>44</v>
      </c>
      <c r="G367" t="s">
        <v>146</v>
      </c>
      <c r="H367">
        <v>3</v>
      </c>
      <c r="I367">
        <v>3.1</v>
      </c>
      <c r="J367">
        <v>0</v>
      </c>
      <c r="K367">
        <v>9.3000000000000007</v>
      </c>
      <c r="L367">
        <v>3.54</v>
      </c>
      <c r="M367" t="s">
        <v>63</v>
      </c>
    </row>
    <row r="368" spans="1:13" x14ac:dyDescent="0.3">
      <c r="A368">
        <v>10344</v>
      </c>
      <c r="B368" t="s">
        <v>408</v>
      </c>
      <c r="C368" t="s">
        <v>410</v>
      </c>
      <c r="D368" t="s">
        <v>165</v>
      </c>
      <c r="E368" t="s">
        <v>125</v>
      </c>
      <c r="F368" t="s">
        <v>75</v>
      </c>
      <c r="G368" t="s">
        <v>76</v>
      </c>
      <c r="H368">
        <v>1</v>
      </c>
      <c r="I368">
        <v>22</v>
      </c>
      <c r="J368">
        <v>0.25</v>
      </c>
      <c r="K368">
        <v>16.5</v>
      </c>
      <c r="L368">
        <v>4.66</v>
      </c>
      <c r="M368" t="s">
        <v>63</v>
      </c>
    </row>
    <row r="369" spans="1:13" x14ac:dyDescent="0.3">
      <c r="A369">
        <v>10244</v>
      </c>
      <c r="B369" t="s">
        <v>612</v>
      </c>
      <c r="C369" t="s">
        <v>605</v>
      </c>
      <c r="D369" t="s">
        <v>584</v>
      </c>
      <c r="E369" t="s">
        <v>61</v>
      </c>
      <c r="F369" t="s">
        <v>50</v>
      </c>
      <c r="G369" t="s">
        <v>99</v>
      </c>
      <c r="H369">
        <v>4</v>
      </c>
      <c r="I369">
        <v>15</v>
      </c>
      <c r="J369">
        <v>0.2</v>
      </c>
      <c r="K369">
        <v>48</v>
      </c>
      <c r="L369">
        <v>9.7200000000000006</v>
      </c>
      <c r="M369" t="s">
        <v>52</v>
      </c>
    </row>
    <row r="370" spans="1:13" x14ac:dyDescent="0.3">
      <c r="A370">
        <v>10327</v>
      </c>
      <c r="B370" t="s">
        <v>427</v>
      </c>
      <c r="C370" t="s">
        <v>456</v>
      </c>
      <c r="D370" t="s">
        <v>374</v>
      </c>
      <c r="E370" t="s">
        <v>74</v>
      </c>
      <c r="F370" t="s">
        <v>56</v>
      </c>
      <c r="G370" t="s">
        <v>149</v>
      </c>
      <c r="H370">
        <v>9</v>
      </c>
      <c r="I370">
        <v>42</v>
      </c>
      <c r="J370">
        <v>0.05</v>
      </c>
      <c r="K370">
        <v>359.1</v>
      </c>
      <c r="L370">
        <v>70.72</v>
      </c>
      <c r="M370" t="s">
        <v>63</v>
      </c>
    </row>
    <row r="371" spans="1:13" x14ac:dyDescent="0.3">
      <c r="A371">
        <v>10274</v>
      </c>
      <c r="B371" t="s">
        <v>613</v>
      </c>
      <c r="C371" t="s">
        <v>614</v>
      </c>
      <c r="D371" t="s">
        <v>345</v>
      </c>
      <c r="E371" t="s">
        <v>61</v>
      </c>
      <c r="F371" t="s">
        <v>56</v>
      </c>
      <c r="G371" t="s">
        <v>217</v>
      </c>
      <c r="H371">
        <v>9</v>
      </c>
      <c r="I371">
        <v>8</v>
      </c>
      <c r="J371">
        <v>0.2</v>
      </c>
      <c r="K371">
        <v>57.6</v>
      </c>
      <c r="L371">
        <v>12.84</v>
      </c>
      <c r="M371" t="s">
        <v>46</v>
      </c>
    </row>
    <row r="372" spans="1:13" x14ac:dyDescent="0.3">
      <c r="A372">
        <v>10352</v>
      </c>
      <c r="B372" t="s">
        <v>615</v>
      </c>
      <c r="C372" t="s">
        <v>273</v>
      </c>
      <c r="D372" t="s">
        <v>79</v>
      </c>
      <c r="E372" t="s">
        <v>74</v>
      </c>
      <c r="F372" t="s">
        <v>50</v>
      </c>
      <c r="G372" t="s">
        <v>51</v>
      </c>
      <c r="H372">
        <v>1</v>
      </c>
      <c r="I372">
        <v>120</v>
      </c>
      <c r="J372">
        <v>0.2</v>
      </c>
      <c r="K372">
        <v>96</v>
      </c>
      <c r="L372">
        <v>19.100000000000001</v>
      </c>
      <c r="M372" t="s">
        <v>63</v>
      </c>
    </row>
    <row r="373" spans="1:13" x14ac:dyDescent="0.3">
      <c r="A373">
        <v>10114</v>
      </c>
      <c r="B373" t="s">
        <v>616</v>
      </c>
      <c r="C373" t="s">
        <v>414</v>
      </c>
      <c r="D373" t="s">
        <v>561</v>
      </c>
      <c r="E373" t="s">
        <v>61</v>
      </c>
      <c r="F373" t="s">
        <v>44</v>
      </c>
      <c r="G373" t="s">
        <v>67</v>
      </c>
      <c r="H373">
        <v>7</v>
      </c>
      <c r="I373">
        <v>5.5</v>
      </c>
      <c r="J373">
        <v>0</v>
      </c>
      <c r="K373">
        <v>38.5</v>
      </c>
      <c r="L373">
        <v>12.52</v>
      </c>
      <c r="M373" t="s">
        <v>52</v>
      </c>
    </row>
    <row r="374" spans="1:13" x14ac:dyDescent="0.3">
      <c r="A374">
        <v>10366</v>
      </c>
      <c r="B374" t="s">
        <v>617</v>
      </c>
      <c r="C374" t="s">
        <v>600</v>
      </c>
      <c r="D374" t="s">
        <v>246</v>
      </c>
      <c r="E374" t="s">
        <v>61</v>
      </c>
      <c r="F374" t="s">
        <v>56</v>
      </c>
      <c r="G374" t="s">
        <v>217</v>
      </c>
      <c r="H374">
        <v>8</v>
      </c>
      <c r="I374">
        <v>8</v>
      </c>
      <c r="J374">
        <v>0.05</v>
      </c>
      <c r="K374">
        <v>60.8</v>
      </c>
      <c r="L374">
        <v>13.28</v>
      </c>
      <c r="M374" t="s">
        <v>46</v>
      </c>
    </row>
    <row r="375" spans="1:13" x14ac:dyDescent="0.3">
      <c r="A375">
        <v>10372</v>
      </c>
      <c r="B375" t="s">
        <v>225</v>
      </c>
      <c r="C375" t="s">
        <v>494</v>
      </c>
      <c r="D375" t="s">
        <v>618</v>
      </c>
      <c r="E375" t="s">
        <v>91</v>
      </c>
      <c r="F375" t="s">
        <v>56</v>
      </c>
      <c r="G375" t="s">
        <v>133</v>
      </c>
      <c r="H375">
        <v>3</v>
      </c>
      <c r="I375">
        <v>9.99</v>
      </c>
      <c r="J375">
        <v>0.1</v>
      </c>
      <c r="K375">
        <v>26.97</v>
      </c>
      <c r="L375">
        <v>5.76</v>
      </c>
      <c r="M375" t="s">
        <v>46</v>
      </c>
    </row>
    <row r="376" spans="1:13" x14ac:dyDescent="0.3">
      <c r="A376">
        <v>10176</v>
      </c>
      <c r="B376" t="s">
        <v>363</v>
      </c>
      <c r="C376" t="s">
        <v>282</v>
      </c>
      <c r="D376" t="s">
        <v>83</v>
      </c>
      <c r="E376" t="s">
        <v>125</v>
      </c>
      <c r="F376" t="s">
        <v>44</v>
      </c>
      <c r="G376" t="s">
        <v>146</v>
      </c>
      <c r="H376">
        <v>2</v>
      </c>
      <c r="I376">
        <v>3.1</v>
      </c>
      <c r="J376">
        <v>0</v>
      </c>
      <c r="K376">
        <v>6.2</v>
      </c>
      <c r="L376">
        <v>2.06</v>
      </c>
      <c r="M376" t="s">
        <v>52</v>
      </c>
    </row>
    <row r="377" spans="1:13" x14ac:dyDescent="0.3">
      <c r="A377">
        <v>10098</v>
      </c>
      <c r="B377" t="s">
        <v>480</v>
      </c>
      <c r="C377" t="s">
        <v>241</v>
      </c>
      <c r="D377" t="s">
        <v>239</v>
      </c>
      <c r="E377" t="s">
        <v>74</v>
      </c>
      <c r="F377" t="s">
        <v>56</v>
      </c>
      <c r="G377" t="s">
        <v>366</v>
      </c>
      <c r="H377">
        <v>6</v>
      </c>
      <c r="I377">
        <v>38.5</v>
      </c>
      <c r="J377">
        <v>0.05</v>
      </c>
      <c r="K377">
        <v>219.45</v>
      </c>
      <c r="L377">
        <v>55.24</v>
      </c>
      <c r="M377" t="s">
        <v>52</v>
      </c>
    </row>
    <row r="378" spans="1:13" x14ac:dyDescent="0.3">
      <c r="A378">
        <v>10293</v>
      </c>
      <c r="B378" t="s">
        <v>619</v>
      </c>
      <c r="C378" t="s">
        <v>244</v>
      </c>
      <c r="D378" t="s">
        <v>570</v>
      </c>
      <c r="E378" t="s">
        <v>91</v>
      </c>
      <c r="F378" t="s">
        <v>50</v>
      </c>
      <c r="G378" t="s">
        <v>84</v>
      </c>
      <c r="H378">
        <v>2</v>
      </c>
      <c r="I378">
        <v>75.5</v>
      </c>
      <c r="J378">
        <v>0.05</v>
      </c>
      <c r="K378">
        <v>143.44999999999999</v>
      </c>
      <c r="L378">
        <v>24.25</v>
      </c>
      <c r="M378" t="s">
        <v>52</v>
      </c>
    </row>
    <row r="379" spans="1:13" x14ac:dyDescent="0.3">
      <c r="A379">
        <v>10363</v>
      </c>
      <c r="B379" t="s">
        <v>457</v>
      </c>
      <c r="C379" t="s">
        <v>120</v>
      </c>
      <c r="D379" t="s">
        <v>233</v>
      </c>
      <c r="E379" t="s">
        <v>61</v>
      </c>
      <c r="F379" t="s">
        <v>44</v>
      </c>
      <c r="G379" t="s">
        <v>67</v>
      </c>
      <c r="H379">
        <v>9</v>
      </c>
      <c r="I379">
        <v>5.5</v>
      </c>
      <c r="J379">
        <v>0.2</v>
      </c>
      <c r="K379">
        <v>39.6</v>
      </c>
      <c r="L379">
        <v>12.55</v>
      </c>
      <c r="M379" t="s">
        <v>63</v>
      </c>
    </row>
    <row r="380" spans="1:13" x14ac:dyDescent="0.3">
      <c r="A380">
        <v>10299</v>
      </c>
      <c r="B380" t="s">
        <v>608</v>
      </c>
      <c r="C380" t="s">
        <v>539</v>
      </c>
      <c r="D380" t="s">
        <v>224</v>
      </c>
      <c r="E380" t="s">
        <v>74</v>
      </c>
      <c r="F380" t="s">
        <v>44</v>
      </c>
      <c r="G380" t="s">
        <v>156</v>
      </c>
      <c r="H380">
        <v>8</v>
      </c>
      <c r="I380">
        <v>27</v>
      </c>
      <c r="J380">
        <v>0.15</v>
      </c>
      <c r="K380">
        <v>183.6</v>
      </c>
      <c r="L380">
        <v>65.84</v>
      </c>
      <c r="M380" t="s">
        <v>46</v>
      </c>
    </row>
    <row r="381" spans="1:13" x14ac:dyDescent="0.3">
      <c r="A381">
        <v>10019</v>
      </c>
      <c r="B381" t="s">
        <v>497</v>
      </c>
      <c r="C381" t="s">
        <v>403</v>
      </c>
      <c r="D381" t="s">
        <v>501</v>
      </c>
      <c r="E381" t="s">
        <v>61</v>
      </c>
      <c r="F381" t="s">
        <v>44</v>
      </c>
      <c r="G381" t="s">
        <v>156</v>
      </c>
      <c r="H381">
        <v>9</v>
      </c>
      <c r="I381">
        <v>27</v>
      </c>
      <c r="J381">
        <v>0.25</v>
      </c>
      <c r="K381">
        <v>182.25</v>
      </c>
      <c r="L381">
        <v>56.53</v>
      </c>
      <c r="M381" t="s">
        <v>52</v>
      </c>
    </row>
    <row r="382" spans="1:13" x14ac:dyDescent="0.3">
      <c r="A382">
        <v>10378</v>
      </c>
      <c r="B382" t="s">
        <v>620</v>
      </c>
      <c r="C382" t="s">
        <v>383</v>
      </c>
      <c r="D382" t="s">
        <v>205</v>
      </c>
      <c r="E382" t="s">
        <v>74</v>
      </c>
      <c r="F382" t="s">
        <v>50</v>
      </c>
      <c r="G382" t="s">
        <v>62</v>
      </c>
      <c r="H382">
        <v>6</v>
      </c>
      <c r="I382">
        <v>65</v>
      </c>
      <c r="J382">
        <v>0.25</v>
      </c>
      <c r="K382">
        <v>292.5</v>
      </c>
      <c r="L382">
        <v>52.73</v>
      </c>
      <c r="M382" t="s">
        <v>63</v>
      </c>
    </row>
    <row r="383" spans="1:13" x14ac:dyDescent="0.3">
      <c r="A383">
        <v>10199</v>
      </c>
      <c r="B383" t="s">
        <v>431</v>
      </c>
      <c r="C383" t="s">
        <v>529</v>
      </c>
      <c r="D383" t="s">
        <v>495</v>
      </c>
      <c r="E383" t="s">
        <v>61</v>
      </c>
      <c r="F383" t="s">
        <v>44</v>
      </c>
      <c r="G383" t="s">
        <v>106</v>
      </c>
      <c r="H383">
        <v>1</v>
      </c>
      <c r="I383">
        <v>6.75</v>
      </c>
      <c r="J383">
        <v>0</v>
      </c>
      <c r="K383">
        <v>6.75</v>
      </c>
      <c r="L383">
        <v>2.31</v>
      </c>
      <c r="M383" t="s">
        <v>52</v>
      </c>
    </row>
    <row r="384" spans="1:13" x14ac:dyDescent="0.3">
      <c r="A384">
        <v>10208</v>
      </c>
      <c r="B384" t="s">
        <v>573</v>
      </c>
      <c r="C384" t="s">
        <v>521</v>
      </c>
      <c r="D384" t="s">
        <v>338</v>
      </c>
      <c r="E384" t="s">
        <v>125</v>
      </c>
      <c r="F384" t="s">
        <v>56</v>
      </c>
      <c r="G384" t="s">
        <v>217</v>
      </c>
      <c r="H384">
        <v>10</v>
      </c>
      <c r="I384">
        <v>8</v>
      </c>
      <c r="J384">
        <v>0.25</v>
      </c>
      <c r="K384">
        <v>60</v>
      </c>
      <c r="L384">
        <v>14.68</v>
      </c>
      <c r="M384" t="s">
        <v>46</v>
      </c>
    </row>
    <row r="385" spans="1:13" x14ac:dyDescent="0.3">
      <c r="A385">
        <v>10215</v>
      </c>
      <c r="B385" t="s">
        <v>68</v>
      </c>
      <c r="C385" t="s">
        <v>376</v>
      </c>
      <c r="D385" t="s">
        <v>589</v>
      </c>
      <c r="E385" t="s">
        <v>43</v>
      </c>
      <c r="F385" t="s">
        <v>75</v>
      </c>
      <c r="G385" t="s">
        <v>95</v>
      </c>
      <c r="H385">
        <v>6</v>
      </c>
      <c r="I385">
        <v>18.75</v>
      </c>
      <c r="J385">
        <v>0.25</v>
      </c>
      <c r="K385">
        <v>84.38</v>
      </c>
      <c r="L385">
        <v>20.8</v>
      </c>
      <c r="M385" t="s">
        <v>46</v>
      </c>
    </row>
    <row r="386" spans="1:13" x14ac:dyDescent="0.3">
      <c r="A386">
        <v>10133</v>
      </c>
      <c r="B386" t="s">
        <v>621</v>
      </c>
      <c r="C386" t="s">
        <v>334</v>
      </c>
      <c r="D386" t="s">
        <v>345</v>
      </c>
      <c r="E386" t="s">
        <v>91</v>
      </c>
      <c r="F386" t="s">
        <v>50</v>
      </c>
      <c r="G386" t="s">
        <v>51</v>
      </c>
      <c r="H386">
        <v>8</v>
      </c>
      <c r="I386">
        <v>120</v>
      </c>
      <c r="J386">
        <v>0.05</v>
      </c>
      <c r="K386">
        <v>912</v>
      </c>
      <c r="L386">
        <v>181.26</v>
      </c>
      <c r="M386" t="s">
        <v>52</v>
      </c>
    </row>
    <row r="387" spans="1:13" x14ac:dyDescent="0.3">
      <c r="A387">
        <v>10152</v>
      </c>
      <c r="B387" t="s">
        <v>399</v>
      </c>
      <c r="C387" t="s">
        <v>258</v>
      </c>
      <c r="D387" t="s">
        <v>622</v>
      </c>
      <c r="E387" t="s">
        <v>125</v>
      </c>
      <c r="F387" t="s">
        <v>75</v>
      </c>
      <c r="G387" t="s">
        <v>202</v>
      </c>
      <c r="H387">
        <v>8</v>
      </c>
      <c r="I387">
        <v>34.5</v>
      </c>
      <c r="J387">
        <v>0.25</v>
      </c>
      <c r="K387">
        <v>207</v>
      </c>
      <c r="L387">
        <v>58.38</v>
      </c>
      <c r="M387" t="s">
        <v>52</v>
      </c>
    </row>
    <row r="388" spans="1:13" x14ac:dyDescent="0.3">
      <c r="A388">
        <v>10255</v>
      </c>
      <c r="B388" t="s">
        <v>623</v>
      </c>
      <c r="C388" t="s">
        <v>436</v>
      </c>
      <c r="D388" t="s">
        <v>235</v>
      </c>
      <c r="E388" t="s">
        <v>61</v>
      </c>
      <c r="F388" t="s">
        <v>56</v>
      </c>
      <c r="G388" t="s">
        <v>217</v>
      </c>
      <c r="H388">
        <v>8</v>
      </c>
      <c r="I388">
        <v>8</v>
      </c>
      <c r="J388">
        <v>0</v>
      </c>
      <c r="K388">
        <v>64</v>
      </c>
      <c r="L388">
        <v>14.66</v>
      </c>
      <c r="M388" t="s">
        <v>52</v>
      </c>
    </row>
    <row r="389" spans="1:13" x14ac:dyDescent="0.3">
      <c r="A389">
        <v>10336</v>
      </c>
      <c r="B389" t="s">
        <v>339</v>
      </c>
      <c r="C389" t="s">
        <v>270</v>
      </c>
      <c r="D389" t="s">
        <v>357</v>
      </c>
      <c r="E389" t="s">
        <v>43</v>
      </c>
      <c r="F389" t="s">
        <v>56</v>
      </c>
      <c r="G389" t="s">
        <v>366</v>
      </c>
      <c r="H389">
        <v>9</v>
      </c>
      <c r="I389">
        <v>38.5</v>
      </c>
      <c r="J389">
        <v>0.05</v>
      </c>
      <c r="K389">
        <v>329.18</v>
      </c>
      <c r="L389">
        <v>63.61</v>
      </c>
      <c r="M389" t="s">
        <v>63</v>
      </c>
    </row>
    <row r="390" spans="1:13" x14ac:dyDescent="0.3">
      <c r="A390">
        <v>10014</v>
      </c>
      <c r="B390" t="s">
        <v>542</v>
      </c>
      <c r="C390" t="s">
        <v>351</v>
      </c>
      <c r="D390" t="s">
        <v>544</v>
      </c>
      <c r="E390" t="s">
        <v>43</v>
      </c>
      <c r="F390" t="s">
        <v>44</v>
      </c>
      <c r="G390" t="s">
        <v>156</v>
      </c>
      <c r="H390">
        <v>3</v>
      </c>
      <c r="I390">
        <v>27</v>
      </c>
      <c r="J390">
        <v>0.25</v>
      </c>
      <c r="K390">
        <v>60.75</v>
      </c>
      <c r="L390">
        <v>18.09</v>
      </c>
      <c r="M390" t="s">
        <v>63</v>
      </c>
    </row>
    <row r="391" spans="1:13" x14ac:dyDescent="0.3">
      <c r="A391">
        <v>10370</v>
      </c>
      <c r="B391" t="s">
        <v>291</v>
      </c>
      <c r="C391" t="s">
        <v>462</v>
      </c>
      <c r="D391" t="s">
        <v>407</v>
      </c>
      <c r="E391" t="s">
        <v>91</v>
      </c>
      <c r="F391" t="s">
        <v>56</v>
      </c>
      <c r="G391" t="s">
        <v>133</v>
      </c>
      <c r="H391">
        <v>7</v>
      </c>
      <c r="I391">
        <v>9.99</v>
      </c>
      <c r="J391">
        <v>0</v>
      </c>
      <c r="K391">
        <v>69.930000000000007</v>
      </c>
      <c r="L391">
        <v>13.76</v>
      </c>
      <c r="M391" t="s">
        <v>63</v>
      </c>
    </row>
    <row r="392" spans="1:13" x14ac:dyDescent="0.3">
      <c r="A392">
        <v>10072</v>
      </c>
      <c r="B392" t="s">
        <v>483</v>
      </c>
      <c r="C392" t="s">
        <v>494</v>
      </c>
      <c r="D392" t="s">
        <v>152</v>
      </c>
      <c r="E392" t="s">
        <v>74</v>
      </c>
      <c r="F392" t="s">
        <v>44</v>
      </c>
      <c r="G392" t="s">
        <v>146</v>
      </c>
      <c r="H392">
        <v>10</v>
      </c>
      <c r="I392">
        <v>3.1</v>
      </c>
      <c r="J392">
        <v>0.1</v>
      </c>
      <c r="K392">
        <v>27.9</v>
      </c>
      <c r="L392">
        <v>9.93</v>
      </c>
      <c r="M392" t="s">
        <v>63</v>
      </c>
    </row>
    <row r="393" spans="1:13" x14ac:dyDescent="0.3">
      <c r="A393">
        <v>10349</v>
      </c>
      <c r="B393" t="s">
        <v>624</v>
      </c>
      <c r="C393" t="s">
        <v>529</v>
      </c>
      <c r="D393" t="s">
        <v>512</v>
      </c>
      <c r="E393" t="s">
        <v>125</v>
      </c>
      <c r="F393" t="s">
        <v>44</v>
      </c>
      <c r="G393" t="s">
        <v>45</v>
      </c>
      <c r="H393">
        <v>6</v>
      </c>
      <c r="I393">
        <v>4.25</v>
      </c>
      <c r="J393">
        <v>0</v>
      </c>
      <c r="K393">
        <v>25.5</v>
      </c>
      <c r="L393">
        <v>7.64</v>
      </c>
      <c r="M393" t="s">
        <v>63</v>
      </c>
    </row>
    <row r="394" spans="1:13" x14ac:dyDescent="0.3">
      <c r="A394">
        <v>10164</v>
      </c>
      <c r="B394" t="s">
        <v>625</v>
      </c>
      <c r="C394" t="s">
        <v>351</v>
      </c>
      <c r="D394" t="s">
        <v>302</v>
      </c>
      <c r="E394" t="s">
        <v>43</v>
      </c>
      <c r="F394" t="s">
        <v>44</v>
      </c>
      <c r="G394" t="s">
        <v>45</v>
      </c>
      <c r="H394">
        <v>1</v>
      </c>
      <c r="I394">
        <v>4.25</v>
      </c>
      <c r="J394">
        <v>0.15</v>
      </c>
      <c r="K394">
        <v>3.61</v>
      </c>
      <c r="L394">
        <v>1.43</v>
      </c>
      <c r="M394" t="s">
        <v>63</v>
      </c>
    </row>
    <row r="395" spans="1:13" x14ac:dyDescent="0.3">
      <c r="A395">
        <v>10339</v>
      </c>
      <c r="B395" t="s">
        <v>166</v>
      </c>
      <c r="C395" t="s">
        <v>416</v>
      </c>
      <c r="D395" t="s">
        <v>214</v>
      </c>
      <c r="E395" t="s">
        <v>61</v>
      </c>
      <c r="F395" t="s">
        <v>75</v>
      </c>
      <c r="G395" t="s">
        <v>202</v>
      </c>
      <c r="H395">
        <v>10</v>
      </c>
      <c r="I395">
        <v>34.5</v>
      </c>
      <c r="J395">
        <v>0.2</v>
      </c>
      <c r="K395">
        <v>276</v>
      </c>
      <c r="L395">
        <v>84.74</v>
      </c>
      <c r="M395" t="s">
        <v>63</v>
      </c>
    </row>
    <row r="396" spans="1:13" x14ac:dyDescent="0.3">
      <c r="A396">
        <v>10207</v>
      </c>
      <c r="B396" t="s">
        <v>377</v>
      </c>
      <c r="C396" t="s">
        <v>373</v>
      </c>
      <c r="D396" t="s">
        <v>469</v>
      </c>
      <c r="E396" t="s">
        <v>125</v>
      </c>
      <c r="F396" t="s">
        <v>75</v>
      </c>
      <c r="G396" t="s">
        <v>303</v>
      </c>
      <c r="H396">
        <v>2</v>
      </c>
      <c r="I396">
        <v>29.99</v>
      </c>
      <c r="J396">
        <v>0.05</v>
      </c>
      <c r="K396">
        <v>56.98</v>
      </c>
      <c r="L396">
        <v>13.65</v>
      </c>
      <c r="M396" t="s">
        <v>63</v>
      </c>
    </row>
    <row r="397" spans="1:13" x14ac:dyDescent="0.3">
      <c r="A397">
        <v>10308</v>
      </c>
      <c r="B397" t="s">
        <v>502</v>
      </c>
      <c r="C397" t="s">
        <v>503</v>
      </c>
      <c r="D397" t="s">
        <v>162</v>
      </c>
      <c r="E397" t="s">
        <v>125</v>
      </c>
      <c r="F397" t="s">
        <v>75</v>
      </c>
      <c r="G397" t="s">
        <v>303</v>
      </c>
      <c r="H397">
        <v>10</v>
      </c>
      <c r="I397">
        <v>29.99</v>
      </c>
      <c r="J397">
        <v>0</v>
      </c>
      <c r="K397">
        <v>299.89999999999998</v>
      </c>
      <c r="L397">
        <v>86.75</v>
      </c>
      <c r="M397" t="s">
        <v>52</v>
      </c>
    </row>
    <row r="398" spans="1:13" x14ac:dyDescent="0.3">
      <c r="A398">
        <v>10030</v>
      </c>
      <c r="B398" t="s">
        <v>361</v>
      </c>
      <c r="C398" t="s">
        <v>297</v>
      </c>
      <c r="D398" t="s">
        <v>455</v>
      </c>
      <c r="E398" t="s">
        <v>125</v>
      </c>
      <c r="F398" t="s">
        <v>75</v>
      </c>
      <c r="G398" t="s">
        <v>303</v>
      </c>
      <c r="H398">
        <v>2</v>
      </c>
      <c r="I398">
        <v>29.99</v>
      </c>
      <c r="J398">
        <v>0.2</v>
      </c>
      <c r="K398">
        <v>47.98</v>
      </c>
      <c r="L398">
        <v>14.07</v>
      </c>
      <c r="M398" t="s">
        <v>52</v>
      </c>
    </row>
    <row r="399" spans="1:13" x14ac:dyDescent="0.3">
      <c r="A399">
        <v>10124</v>
      </c>
      <c r="B399" t="s">
        <v>395</v>
      </c>
      <c r="C399" t="s">
        <v>614</v>
      </c>
      <c r="D399" t="s">
        <v>320</v>
      </c>
      <c r="E399" t="s">
        <v>43</v>
      </c>
      <c r="F399" t="s">
        <v>50</v>
      </c>
      <c r="G399" t="s">
        <v>62</v>
      </c>
      <c r="H399">
        <v>1</v>
      </c>
      <c r="I399">
        <v>65</v>
      </c>
      <c r="J399">
        <v>0</v>
      </c>
      <c r="K399">
        <v>65</v>
      </c>
      <c r="L399">
        <v>12.55</v>
      </c>
      <c r="M399" t="s">
        <v>46</v>
      </c>
    </row>
    <row r="400" spans="1:13" x14ac:dyDescent="0.3">
      <c r="A400">
        <v>10115</v>
      </c>
      <c r="B400" t="s">
        <v>601</v>
      </c>
      <c r="C400" t="s">
        <v>602</v>
      </c>
      <c r="D400" t="s">
        <v>603</v>
      </c>
      <c r="E400" t="s">
        <v>74</v>
      </c>
      <c r="F400" t="s">
        <v>56</v>
      </c>
      <c r="G400" t="s">
        <v>57</v>
      </c>
      <c r="H400">
        <v>2</v>
      </c>
      <c r="I400">
        <v>55</v>
      </c>
      <c r="J400">
        <v>0.05</v>
      </c>
      <c r="K400">
        <v>104.5</v>
      </c>
      <c r="L400">
        <v>22.79</v>
      </c>
      <c r="M400" t="s">
        <v>52</v>
      </c>
    </row>
    <row r="401" spans="1:13" x14ac:dyDescent="0.3">
      <c r="A401">
        <v>10265</v>
      </c>
      <c r="B401" t="s">
        <v>626</v>
      </c>
      <c r="C401" t="s">
        <v>602</v>
      </c>
      <c r="D401" t="s">
        <v>180</v>
      </c>
      <c r="E401" t="s">
        <v>61</v>
      </c>
      <c r="F401" t="s">
        <v>75</v>
      </c>
      <c r="G401" t="s">
        <v>76</v>
      </c>
      <c r="H401">
        <v>7</v>
      </c>
      <c r="I401">
        <v>22</v>
      </c>
      <c r="J401">
        <v>0.2</v>
      </c>
      <c r="K401">
        <v>123.2</v>
      </c>
      <c r="L401">
        <v>37.39</v>
      </c>
      <c r="M401" t="s">
        <v>46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9"/>
  <sheetViews>
    <sheetView zoomScaleNormal="100" workbookViewId="0">
      <pane ySplit="3" topLeftCell="A4" activePane="bottomLeft" state="frozen"/>
      <selection pane="bottomLeft" sqref="A1:N1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7" width="16" customWidth="1"/>
    <col min="8" max="8" width="9" customWidth="1"/>
    <col min="9" max="9" width="10" customWidth="1"/>
    <col min="10" max="10" width="9" customWidth="1"/>
    <col min="11" max="12" width="11" customWidth="1"/>
    <col min="13" max="14" width="10" customWidth="1"/>
  </cols>
  <sheetData>
    <row r="1" spans="1:14" ht="25.5" customHeight="1" x14ac:dyDescent="0.3">
      <c r="A1" s="5" t="s">
        <v>630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ht="27.6" x14ac:dyDescent="0.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631</v>
      </c>
    </row>
    <row r="4" spans="1:14" x14ac:dyDescent="0.3">
      <c r="A4">
        <v>10303</v>
      </c>
      <c r="B4" s="14" t="s">
        <v>184</v>
      </c>
      <c r="C4" t="s">
        <v>488</v>
      </c>
      <c r="D4" t="s">
        <v>148</v>
      </c>
      <c r="E4" t="s">
        <v>61</v>
      </c>
      <c r="F4" t="s">
        <v>50</v>
      </c>
      <c r="G4" t="s">
        <v>51</v>
      </c>
      <c r="H4">
        <v>5</v>
      </c>
      <c r="I4" s="15">
        <v>120</v>
      </c>
      <c r="J4" s="16">
        <v>0</v>
      </c>
      <c r="K4" s="15">
        <f t="shared" ref="K4:K67" si="0">ROUND(H4*I4*(1-J4),2)</f>
        <v>600</v>
      </c>
      <c r="L4" s="15">
        <f>ROUND(K4*VLOOKUP(F4,Reference!$A$4:$B$7,2,FALSE()),2)</f>
        <v>108</v>
      </c>
      <c r="M4" t="s">
        <v>46</v>
      </c>
      <c r="N4" t="str">
        <f t="shared" ref="N4:N67" si="1">TEXT(B4,"mmm-yyyy")</f>
        <v>Jan-2024</v>
      </c>
    </row>
    <row r="5" spans="1:14" x14ac:dyDescent="0.3">
      <c r="A5">
        <v>10092</v>
      </c>
      <c r="B5" s="14" t="s">
        <v>184</v>
      </c>
      <c r="C5" t="s">
        <v>531</v>
      </c>
      <c r="D5" t="s">
        <v>102</v>
      </c>
      <c r="E5" t="s">
        <v>91</v>
      </c>
      <c r="F5" t="s">
        <v>56</v>
      </c>
      <c r="G5" t="s">
        <v>366</v>
      </c>
      <c r="H5">
        <v>1</v>
      </c>
      <c r="I5" s="15">
        <v>38.5</v>
      </c>
      <c r="J5" s="16">
        <v>0.05</v>
      </c>
      <c r="K5" s="15">
        <f t="shared" si="0"/>
        <v>36.58</v>
      </c>
      <c r="L5" s="15">
        <f>ROUND(K5*VLOOKUP(F5,Reference!$A$4:$B$7,2,FALSE()),2)</f>
        <v>8.0500000000000007</v>
      </c>
      <c r="M5" t="s">
        <v>46</v>
      </c>
      <c r="N5" t="str">
        <f t="shared" si="1"/>
        <v>Jan-2024</v>
      </c>
    </row>
    <row r="6" spans="1:14" x14ac:dyDescent="0.3">
      <c r="A6">
        <v>10016</v>
      </c>
      <c r="B6" s="14" t="s">
        <v>184</v>
      </c>
      <c r="C6" t="s">
        <v>131</v>
      </c>
      <c r="D6" t="s">
        <v>73</v>
      </c>
      <c r="E6" t="s">
        <v>91</v>
      </c>
      <c r="F6" t="s">
        <v>44</v>
      </c>
      <c r="G6" t="s">
        <v>156</v>
      </c>
      <c r="H6">
        <v>1</v>
      </c>
      <c r="I6" s="15">
        <v>27</v>
      </c>
      <c r="J6" s="16">
        <v>0</v>
      </c>
      <c r="K6" s="15">
        <f t="shared" si="0"/>
        <v>27</v>
      </c>
      <c r="L6" s="15">
        <f>ROUND(K6*VLOOKUP(F6,Reference!$A$4:$B$7,2,FALSE()),2)</f>
        <v>9.4499999999999993</v>
      </c>
      <c r="M6" t="s">
        <v>63</v>
      </c>
      <c r="N6" t="str">
        <f t="shared" si="1"/>
        <v>Jan-2024</v>
      </c>
    </row>
    <row r="7" spans="1:14" x14ac:dyDescent="0.3">
      <c r="A7">
        <v>10140</v>
      </c>
      <c r="B7" s="14" t="s">
        <v>203</v>
      </c>
      <c r="C7" t="s">
        <v>204</v>
      </c>
      <c r="D7" t="s">
        <v>205</v>
      </c>
      <c r="E7" t="s">
        <v>125</v>
      </c>
      <c r="F7" t="s">
        <v>44</v>
      </c>
      <c r="G7" t="s">
        <v>45</v>
      </c>
      <c r="H7">
        <v>3</v>
      </c>
      <c r="I7" s="15">
        <v>4.25</v>
      </c>
      <c r="J7" s="16">
        <v>0.1</v>
      </c>
      <c r="K7" s="15">
        <f t="shared" si="0"/>
        <v>11.48</v>
      </c>
      <c r="L7" s="15">
        <f>ROUND(K7*VLOOKUP(F7,Reference!$A$4:$B$7,2,FALSE()),2)</f>
        <v>4.0199999999999996</v>
      </c>
      <c r="M7" t="s">
        <v>52</v>
      </c>
      <c r="N7" t="str">
        <f t="shared" si="1"/>
        <v>Jan-2024</v>
      </c>
    </row>
    <row r="8" spans="1:14" x14ac:dyDescent="0.3">
      <c r="A8">
        <v>10079</v>
      </c>
      <c r="B8" s="14" t="s">
        <v>291</v>
      </c>
      <c r="C8" t="s">
        <v>65</v>
      </c>
      <c r="D8" t="s">
        <v>292</v>
      </c>
      <c r="E8" t="s">
        <v>91</v>
      </c>
      <c r="F8" t="s">
        <v>44</v>
      </c>
      <c r="G8" t="s">
        <v>156</v>
      </c>
      <c r="H8">
        <v>8</v>
      </c>
      <c r="I8" s="15">
        <v>27</v>
      </c>
      <c r="J8" s="16">
        <v>0.25</v>
      </c>
      <c r="K8" s="15">
        <f t="shared" si="0"/>
        <v>162</v>
      </c>
      <c r="L8" s="15">
        <f>ROUND(K8*VLOOKUP(F8,Reference!$A$4:$B$7,2,FALSE()),2)</f>
        <v>56.7</v>
      </c>
      <c r="M8" t="s">
        <v>52</v>
      </c>
      <c r="N8" t="str">
        <f t="shared" si="1"/>
        <v>Jan-2024</v>
      </c>
    </row>
    <row r="9" spans="1:14" x14ac:dyDescent="0.3">
      <c r="A9">
        <v>10370</v>
      </c>
      <c r="B9" s="14" t="s">
        <v>291</v>
      </c>
      <c r="C9" t="s">
        <v>462</v>
      </c>
      <c r="D9" t="s">
        <v>407</v>
      </c>
      <c r="E9" t="s">
        <v>91</v>
      </c>
      <c r="F9" t="s">
        <v>56</v>
      </c>
      <c r="G9" t="s">
        <v>133</v>
      </c>
      <c r="H9">
        <v>7</v>
      </c>
      <c r="I9" s="15">
        <v>9.99</v>
      </c>
      <c r="J9" s="16">
        <v>0</v>
      </c>
      <c r="K9" s="15">
        <f t="shared" si="0"/>
        <v>69.930000000000007</v>
      </c>
      <c r="L9" s="15">
        <f>ROUND(K9*VLOOKUP(F9,Reference!$A$4:$B$7,2,FALSE()),2)</f>
        <v>15.38</v>
      </c>
      <c r="M9" t="s">
        <v>63</v>
      </c>
      <c r="N9" t="str">
        <f t="shared" si="1"/>
        <v>Jan-2024</v>
      </c>
    </row>
    <row r="10" spans="1:14" x14ac:dyDescent="0.3">
      <c r="A10">
        <v>10337</v>
      </c>
      <c r="B10" s="14" t="s">
        <v>291</v>
      </c>
      <c r="C10" t="s">
        <v>519</v>
      </c>
      <c r="D10" t="s">
        <v>335</v>
      </c>
      <c r="E10" t="s">
        <v>43</v>
      </c>
      <c r="F10" t="s">
        <v>50</v>
      </c>
      <c r="G10" t="s">
        <v>51</v>
      </c>
      <c r="H10">
        <v>4</v>
      </c>
      <c r="I10" s="15">
        <v>120</v>
      </c>
      <c r="J10" s="16">
        <v>0.2</v>
      </c>
      <c r="K10" s="15">
        <f t="shared" si="0"/>
        <v>384</v>
      </c>
      <c r="L10" s="15">
        <f>ROUND(K10*VLOOKUP(F10,Reference!$A$4:$B$7,2,FALSE()),2)</f>
        <v>69.12</v>
      </c>
      <c r="M10" t="s">
        <v>46</v>
      </c>
      <c r="N10" t="str">
        <f t="shared" si="1"/>
        <v>Jan-2024</v>
      </c>
    </row>
    <row r="11" spans="1:14" x14ac:dyDescent="0.3">
      <c r="A11">
        <v>10374</v>
      </c>
      <c r="B11" s="14" t="s">
        <v>551</v>
      </c>
      <c r="C11" t="s">
        <v>86</v>
      </c>
      <c r="D11" t="s">
        <v>552</v>
      </c>
      <c r="E11" t="s">
        <v>74</v>
      </c>
      <c r="F11" t="s">
        <v>44</v>
      </c>
      <c r="G11" t="s">
        <v>146</v>
      </c>
      <c r="H11">
        <v>5</v>
      </c>
      <c r="I11" s="15">
        <v>3.1</v>
      </c>
      <c r="J11" s="16">
        <v>0.25</v>
      </c>
      <c r="K11" s="15">
        <f t="shared" si="0"/>
        <v>11.63</v>
      </c>
      <c r="L11" s="15">
        <f>ROUND(K11*VLOOKUP(F11,Reference!$A$4:$B$7,2,FALSE()),2)</f>
        <v>4.07</v>
      </c>
      <c r="M11" t="s">
        <v>63</v>
      </c>
      <c r="N11" t="str">
        <f t="shared" si="1"/>
        <v>Jan-2024</v>
      </c>
    </row>
    <row r="12" spans="1:14" x14ac:dyDescent="0.3">
      <c r="A12">
        <v>10357</v>
      </c>
      <c r="B12" s="14" t="s">
        <v>551</v>
      </c>
      <c r="C12" t="s">
        <v>373</v>
      </c>
      <c r="D12" t="s">
        <v>155</v>
      </c>
      <c r="E12" t="s">
        <v>74</v>
      </c>
      <c r="F12" t="s">
        <v>44</v>
      </c>
      <c r="G12" t="s">
        <v>67</v>
      </c>
      <c r="H12">
        <v>2</v>
      </c>
      <c r="I12" s="15">
        <v>5.5</v>
      </c>
      <c r="J12" s="16">
        <v>0.15</v>
      </c>
      <c r="K12" s="15">
        <f t="shared" si="0"/>
        <v>9.35</v>
      </c>
      <c r="L12" s="15">
        <f>ROUND(K12*VLOOKUP(F12,Reference!$A$4:$B$7,2,FALSE()),2)</f>
        <v>3.27</v>
      </c>
      <c r="M12" t="s">
        <v>46</v>
      </c>
      <c r="N12" t="str">
        <f t="shared" si="1"/>
        <v>Jan-2024</v>
      </c>
    </row>
    <row r="13" spans="1:14" x14ac:dyDescent="0.3">
      <c r="A13">
        <v>10020</v>
      </c>
      <c r="B13" s="14" t="s">
        <v>551</v>
      </c>
      <c r="C13" t="s">
        <v>450</v>
      </c>
      <c r="D13" t="s">
        <v>132</v>
      </c>
      <c r="E13" t="s">
        <v>91</v>
      </c>
      <c r="F13" t="s">
        <v>50</v>
      </c>
      <c r="G13" t="s">
        <v>99</v>
      </c>
      <c r="H13">
        <v>4</v>
      </c>
      <c r="I13" s="15">
        <v>15</v>
      </c>
      <c r="J13" s="16">
        <v>0</v>
      </c>
      <c r="K13" s="15">
        <f t="shared" si="0"/>
        <v>60</v>
      </c>
      <c r="L13" s="15">
        <f>ROUND(K13*VLOOKUP(F13,Reference!$A$4:$B$7,2,FALSE()),2)</f>
        <v>10.8</v>
      </c>
      <c r="M13" t="s">
        <v>63</v>
      </c>
      <c r="N13" t="str">
        <f t="shared" si="1"/>
        <v>Jan-2024</v>
      </c>
    </row>
    <row r="14" spans="1:14" x14ac:dyDescent="0.3">
      <c r="A14">
        <v>10061</v>
      </c>
      <c r="B14" s="14" t="s">
        <v>594</v>
      </c>
      <c r="C14" t="s">
        <v>101</v>
      </c>
      <c r="D14" t="s">
        <v>233</v>
      </c>
      <c r="E14" t="s">
        <v>43</v>
      </c>
      <c r="F14" t="s">
        <v>56</v>
      </c>
      <c r="G14" t="s">
        <v>149</v>
      </c>
      <c r="H14">
        <v>8</v>
      </c>
      <c r="I14" s="15">
        <v>42</v>
      </c>
      <c r="J14" s="16">
        <v>0</v>
      </c>
      <c r="K14" s="15">
        <f t="shared" si="0"/>
        <v>336</v>
      </c>
      <c r="L14" s="15">
        <f>ROUND(K14*VLOOKUP(F14,Reference!$A$4:$B$7,2,FALSE()),2)</f>
        <v>73.92</v>
      </c>
      <c r="M14" t="s">
        <v>63</v>
      </c>
      <c r="N14" t="str">
        <f t="shared" si="1"/>
        <v>Jan-2024</v>
      </c>
    </row>
    <row r="15" spans="1:14" x14ac:dyDescent="0.3">
      <c r="A15">
        <v>10088</v>
      </c>
      <c r="B15" s="14" t="s">
        <v>594</v>
      </c>
      <c r="C15" t="s">
        <v>595</v>
      </c>
      <c r="D15" t="s">
        <v>412</v>
      </c>
      <c r="E15" t="s">
        <v>43</v>
      </c>
      <c r="F15" t="s">
        <v>50</v>
      </c>
      <c r="G15" t="s">
        <v>99</v>
      </c>
      <c r="H15">
        <v>10</v>
      </c>
      <c r="I15" s="15">
        <v>15</v>
      </c>
      <c r="J15" s="16">
        <v>0</v>
      </c>
      <c r="K15" s="15">
        <f t="shared" si="0"/>
        <v>150</v>
      </c>
      <c r="L15" s="15">
        <f>ROUND(K15*VLOOKUP(F15,Reference!$A$4:$B$7,2,FALSE()),2)</f>
        <v>27</v>
      </c>
      <c r="M15" t="s">
        <v>63</v>
      </c>
      <c r="N15" t="str">
        <f t="shared" si="1"/>
        <v>Jan-2024</v>
      </c>
    </row>
    <row r="16" spans="1:14" x14ac:dyDescent="0.3">
      <c r="A16">
        <v>10094</v>
      </c>
      <c r="B16" s="14" t="s">
        <v>380</v>
      </c>
      <c r="C16" t="s">
        <v>605</v>
      </c>
      <c r="D16" t="s">
        <v>266</v>
      </c>
      <c r="E16" t="s">
        <v>91</v>
      </c>
      <c r="F16" t="s">
        <v>50</v>
      </c>
      <c r="G16" t="s">
        <v>51</v>
      </c>
      <c r="H16">
        <v>5</v>
      </c>
      <c r="I16" s="15">
        <v>120</v>
      </c>
      <c r="J16" s="16">
        <v>0</v>
      </c>
      <c r="K16" s="15">
        <f t="shared" si="0"/>
        <v>600</v>
      </c>
      <c r="L16" s="15">
        <f>ROUND(K16*VLOOKUP(F16,Reference!$A$4:$B$7,2,FALSE()),2)</f>
        <v>108</v>
      </c>
      <c r="M16" t="s">
        <v>63</v>
      </c>
      <c r="N16" t="str">
        <f t="shared" si="1"/>
        <v>Jan-2024</v>
      </c>
    </row>
    <row r="17" spans="1:14" x14ac:dyDescent="0.3">
      <c r="A17">
        <v>10380</v>
      </c>
      <c r="B17" s="14" t="s">
        <v>380</v>
      </c>
      <c r="C17" t="s">
        <v>223</v>
      </c>
      <c r="D17" t="s">
        <v>279</v>
      </c>
      <c r="E17" t="s">
        <v>61</v>
      </c>
      <c r="F17" t="s">
        <v>75</v>
      </c>
      <c r="G17" t="s">
        <v>202</v>
      </c>
      <c r="H17">
        <v>10</v>
      </c>
      <c r="I17" s="15">
        <v>34.5</v>
      </c>
      <c r="J17" s="16">
        <v>0.05</v>
      </c>
      <c r="K17" s="15">
        <f t="shared" si="0"/>
        <v>327.75</v>
      </c>
      <c r="L17" s="15">
        <f>ROUND(K17*VLOOKUP(F17,Reference!$A$4:$B$7,2,FALSE()),2)</f>
        <v>91.77</v>
      </c>
      <c r="M17" t="s">
        <v>52</v>
      </c>
      <c r="N17" t="str">
        <f t="shared" si="1"/>
        <v>Jan-2024</v>
      </c>
    </row>
    <row r="18" spans="1:14" x14ac:dyDescent="0.3">
      <c r="A18">
        <v>10021</v>
      </c>
      <c r="B18" s="14" t="s">
        <v>312</v>
      </c>
      <c r="C18" t="s">
        <v>313</v>
      </c>
      <c r="D18" t="s">
        <v>314</v>
      </c>
      <c r="E18" t="s">
        <v>74</v>
      </c>
      <c r="F18" t="s">
        <v>75</v>
      </c>
      <c r="G18" t="s">
        <v>303</v>
      </c>
      <c r="H18">
        <v>4</v>
      </c>
      <c r="I18" s="15">
        <v>29.99</v>
      </c>
      <c r="J18" s="16">
        <v>0.1</v>
      </c>
      <c r="K18" s="15">
        <f t="shared" si="0"/>
        <v>107.96</v>
      </c>
      <c r="L18" s="15">
        <f>ROUND(K18*VLOOKUP(F18,Reference!$A$4:$B$7,2,FALSE()),2)</f>
        <v>30.23</v>
      </c>
      <c r="M18" t="s">
        <v>63</v>
      </c>
      <c r="N18" t="str">
        <f t="shared" si="1"/>
        <v>Jan-2024</v>
      </c>
    </row>
    <row r="19" spans="1:14" x14ac:dyDescent="0.3">
      <c r="A19">
        <v>10367</v>
      </c>
      <c r="B19" s="14" t="s">
        <v>262</v>
      </c>
      <c r="C19" t="s">
        <v>229</v>
      </c>
      <c r="D19" t="s">
        <v>263</v>
      </c>
      <c r="E19" t="s">
        <v>91</v>
      </c>
      <c r="F19" t="s">
        <v>50</v>
      </c>
      <c r="G19" t="s">
        <v>80</v>
      </c>
      <c r="H19">
        <v>8</v>
      </c>
      <c r="I19" s="15">
        <v>89</v>
      </c>
      <c r="J19" s="16">
        <v>0</v>
      </c>
      <c r="K19" s="15">
        <f t="shared" si="0"/>
        <v>712</v>
      </c>
      <c r="L19" s="15">
        <f>ROUND(K19*VLOOKUP(F19,Reference!$A$4:$B$7,2,FALSE()),2)</f>
        <v>128.16</v>
      </c>
      <c r="M19" t="s">
        <v>63</v>
      </c>
      <c r="N19" t="str">
        <f t="shared" si="1"/>
        <v>Jan-2024</v>
      </c>
    </row>
    <row r="20" spans="1:14" x14ac:dyDescent="0.3">
      <c r="A20">
        <v>10165</v>
      </c>
      <c r="B20" s="14" t="s">
        <v>553</v>
      </c>
      <c r="C20" t="s">
        <v>355</v>
      </c>
      <c r="D20" t="s">
        <v>343</v>
      </c>
      <c r="E20" t="s">
        <v>74</v>
      </c>
      <c r="F20" t="s">
        <v>56</v>
      </c>
      <c r="G20" t="s">
        <v>149</v>
      </c>
      <c r="H20">
        <v>8</v>
      </c>
      <c r="I20" s="15">
        <v>42</v>
      </c>
      <c r="J20" s="16">
        <v>0.25</v>
      </c>
      <c r="K20" s="15">
        <f t="shared" si="0"/>
        <v>252</v>
      </c>
      <c r="L20" s="15">
        <f>ROUND(K20*VLOOKUP(F20,Reference!$A$4:$B$7,2,FALSE()),2)</f>
        <v>55.44</v>
      </c>
      <c r="M20" t="s">
        <v>52</v>
      </c>
      <c r="N20" t="str">
        <f t="shared" si="1"/>
        <v>Jan-2024</v>
      </c>
    </row>
    <row r="21" spans="1:14" x14ac:dyDescent="0.3">
      <c r="A21">
        <v>10142</v>
      </c>
      <c r="B21" s="14" t="s">
        <v>166</v>
      </c>
      <c r="C21" t="s">
        <v>167</v>
      </c>
      <c r="D21" t="s">
        <v>145</v>
      </c>
      <c r="E21" t="s">
        <v>61</v>
      </c>
      <c r="F21" t="s">
        <v>75</v>
      </c>
      <c r="G21" t="s">
        <v>95</v>
      </c>
      <c r="H21">
        <v>2</v>
      </c>
      <c r="I21" s="15">
        <v>18.75</v>
      </c>
      <c r="J21" s="16">
        <v>0.15</v>
      </c>
      <c r="K21" s="15">
        <f t="shared" si="0"/>
        <v>31.88</v>
      </c>
      <c r="L21" s="15">
        <f>ROUND(K21*VLOOKUP(F21,Reference!$A$4:$B$7,2,FALSE()),2)</f>
        <v>8.93</v>
      </c>
      <c r="M21" t="s">
        <v>46</v>
      </c>
      <c r="N21" t="str">
        <f t="shared" si="1"/>
        <v>Jan-2024</v>
      </c>
    </row>
    <row r="22" spans="1:14" x14ac:dyDescent="0.3">
      <c r="A22">
        <v>10339</v>
      </c>
      <c r="B22" s="14" t="s">
        <v>166</v>
      </c>
      <c r="C22" t="s">
        <v>416</v>
      </c>
      <c r="D22" t="s">
        <v>214</v>
      </c>
      <c r="E22" t="s">
        <v>61</v>
      </c>
      <c r="F22" t="s">
        <v>75</v>
      </c>
      <c r="G22" t="s">
        <v>202</v>
      </c>
      <c r="H22">
        <v>10</v>
      </c>
      <c r="I22" s="15">
        <v>34.5</v>
      </c>
      <c r="J22" s="16">
        <v>0.2</v>
      </c>
      <c r="K22" s="15">
        <f t="shared" si="0"/>
        <v>276</v>
      </c>
      <c r="L22" s="15">
        <f>ROUND(K22*VLOOKUP(F22,Reference!$A$4:$B$7,2,FALSE()),2)</f>
        <v>77.28</v>
      </c>
      <c r="M22" t="s">
        <v>63</v>
      </c>
      <c r="N22" t="str">
        <f t="shared" si="1"/>
        <v>Jan-2024</v>
      </c>
    </row>
    <row r="23" spans="1:14" x14ac:dyDescent="0.3">
      <c r="A23">
        <v>10230</v>
      </c>
      <c r="B23" s="14" t="s">
        <v>222</v>
      </c>
      <c r="C23" t="s">
        <v>223</v>
      </c>
      <c r="D23" t="s">
        <v>224</v>
      </c>
      <c r="E23" t="s">
        <v>61</v>
      </c>
      <c r="F23" t="s">
        <v>44</v>
      </c>
      <c r="G23" t="s">
        <v>67</v>
      </c>
      <c r="H23">
        <v>9</v>
      </c>
      <c r="I23" s="15">
        <v>5.5</v>
      </c>
      <c r="J23" s="16">
        <v>0</v>
      </c>
      <c r="K23" s="15">
        <f t="shared" si="0"/>
        <v>49.5</v>
      </c>
      <c r="L23" s="15">
        <f>ROUND(K23*VLOOKUP(F23,Reference!$A$4:$B$7,2,FALSE()),2)</f>
        <v>17.329999999999998</v>
      </c>
      <c r="M23" t="s">
        <v>63</v>
      </c>
      <c r="N23" t="str">
        <f t="shared" si="1"/>
        <v>Jan-2024</v>
      </c>
    </row>
    <row r="24" spans="1:14" x14ac:dyDescent="0.3">
      <c r="A24">
        <v>10051</v>
      </c>
      <c r="B24" s="14" t="s">
        <v>222</v>
      </c>
      <c r="C24" t="s">
        <v>430</v>
      </c>
      <c r="D24" t="s">
        <v>165</v>
      </c>
      <c r="E24" t="s">
        <v>125</v>
      </c>
      <c r="F24" t="s">
        <v>56</v>
      </c>
      <c r="G24" t="s">
        <v>217</v>
      </c>
      <c r="H24">
        <v>2</v>
      </c>
      <c r="I24" s="15">
        <v>8</v>
      </c>
      <c r="J24" s="16">
        <v>0.25</v>
      </c>
      <c r="K24" s="15">
        <f t="shared" si="0"/>
        <v>12</v>
      </c>
      <c r="L24" s="15">
        <f>ROUND(K24*VLOOKUP(F24,Reference!$A$4:$B$7,2,FALSE()),2)</f>
        <v>2.64</v>
      </c>
      <c r="M24" t="s">
        <v>46</v>
      </c>
      <c r="N24" t="str">
        <f t="shared" si="1"/>
        <v>Jan-2024</v>
      </c>
    </row>
    <row r="25" spans="1:14" x14ac:dyDescent="0.3">
      <c r="A25">
        <v>10257</v>
      </c>
      <c r="B25" s="14" t="s">
        <v>222</v>
      </c>
      <c r="C25" t="s">
        <v>486</v>
      </c>
      <c r="D25" t="s">
        <v>586</v>
      </c>
      <c r="E25" t="s">
        <v>43</v>
      </c>
      <c r="F25" t="s">
        <v>44</v>
      </c>
      <c r="G25" t="s">
        <v>106</v>
      </c>
      <c r="H25">
        <v>10</v>
      </c>
      <c r="I25" s="15">
        <v>6.75</v>
      </c>
      <c r="J25" s="16">
        <v>0</v>
      </c>
      <c r="K25" s="15">
        <f t="shared" si="0"/>
        <v>67.5</v>
      </c>
      <c r="L25" s="15">
        <f>ROUND(K25*VLOOKUP(F25,Reference!$A$4:$B$7,2,FALSE()),2)</f>
        <v>23.63</v>
      </c>
      <c r="M25" t="s">
        <v>63</v>
      </c>
      <c r="N25" t="str">
        <f t="shared" si="1"/>
        <v>Jan-2024</v>
      </c>
    </row>
    <row r="26" spans="1:14" x14ac:dyDescent="0.3">
      <c r="A26">
        <v>10174</v>
      </c>
      <c r="B26" s="14" t="s">
        <v>401</v>
      </c>
      <c r="C26" t="s">
        <v>337</v>
      </c>
      <c r="D26" t="s">
        <v>189</v>
      </c>
      <c r="E26" t="s">
        <v>74</v>
      </c>
      <c r="F26" t="s">
        <v>44</v>
      </c>
      <c r="G26" t="s">
        <v>67</v>
      </c>
      <c r="H26">
        <v>6</v>
      </c>
      <c r="I26" s="15">
        <v>5.5</v>
      </c>
      <c r="J26" s="16">
        <v>0.2</v>
      </c>
      <c r="K26" s="15">
        <f t="shared" si="0"/>
        <v>26.4</v>
      </c>
      <c r="L26" s="15">
        <f>ROUND(K26*VLOOKUP(F26,Reference!$A$4:$B$7,2,FALSE()),2)</f>
        <v>9.24</v>
      </c>
      <c r="M26" t="s">
        <v>52</v>
      </c>
      <c r="N26" t="str">
        <f t="shared" si="1"/>
        <v>Jan-2024</v>
      </c>
    </row>
    <row r="27" spans="1:14" x14ac:dyDescent="0.3">
      <c r="A27">
        <v>10302</v>
      </c>
      <c r="B27" s="14" t="s">
        <v>401</v>
      </c>
      <c r="C27" t="s">
        <v>258</v>
      </c>
      <c r="D27" t="s">
        <v>162</v>
      </c>
      <c r="E27" t="s">
        <v>43</v>
      </c>
      <c r="F27" t="s">
        <v>75</v>
      </c>
      <c r="G27" t="s">
        <v>95</v>
      </c>
      <c r="H27">
        <v>1</v>
      </c>
      <c r="I27" s="15">
        <v>18.75</v>
      </c>
      <c r="J27" s="16">
        <v>0</v>
      </c>
      <c r="K27" s="15">
        <f t="shared" si="0"/>
        <v>18.75</v>
      </c>
      <c r="L27" s="15">
        <f>ROUND(K27*VLOOKUP(F27,Reference!$A$4:$B$7,2,FALSE()),2)</f>
        <v>5.25</v>
      </c>
      <c r="M27" t="s">
        <v>52</v>
      </c>
      <c r="N27" t="str">
        <f t="shared" si="1"/>
        <v>Jan-2024</v>
      </c>
    </row>
    <row r="28" spans="1:14" x14ac:dyDescent="0.3">
      <c r="A28">
        <v>10378</v>
      </c>
      <c r="B28" s="14" t="s">
        <v>620</v>
      </c>
      <c r="C28" t="s">
        <v>383</v>
      </c>
      <c r="D28" t="s">
        <v>205</v>
      </c>
      <c r="E28" t="s">
        <v>74</v>
      </c>
      <c r="F28" t="s">
        <v>50</v>
      </c>
      <c r="G28" t="s">
        <v>62</v>
      </c>
      <c r="H28">
        <v>6</v>
      </c>
      <c r="I28" s="15">
        <v>65</v>
      </c>
      <c r="J28" s="16">
        <v>0.25</v>
      </c>
      <c r="K28" s="15">
        <f t="shared" si="0"/>
        <v>292.5</v>
      </c>
      <c r="L28" s="15">
        <f>ROUND(K28*VLOOKUP(F28,Reference!$A$4:$B$7,2,FALSE()),2)</f>
        <v>52.65</v>
      </c>
      <c r="M28" t="s">
        <v>63</v>
      </c>
      <c r="N28" t="str">
        <f t="shared" si="1"/>
        <v>Jan-2024</v>
      </c>
    </row>
    <row r="29" spans="1:14" x14ac:dyDescent="0.3">
      <c r="A29">
        <v>10149</v>
      </c>
      <c r="B29" s="14" t="s">
        <v>524</v>
      </c>
      <c r="C29" t="s">
        <v>539</v>
      </c>
      <c r="D29" t="s">
        <v>253</v>
      </c>
      <c r="E29" t="s">
        <v>74</v>
      </c>
      <c r="F29" t="s">
        <v>75</v>
      </c>
      <c r="G29" t="s">
        <v>76</v>
      </c>
      <c r="H29">
        <v>8</v>
      </c>
      <c r="I29" s="15">
        <v>22</v>
      </c>
      <c r="J29" s="16">
        <v>0.25</v>
      </c>
      <c r="K29" s="15">
        <f t="shared" si="0"/>
        <v>132</v>
      </c>
      <c r="L29" s="15">
        <f>ROUND(K29*VLOOKUP(F29,Reference!$A$4:$B$7,2,FALSE()),2)</f>
        <v>36.96</v>
      </c>
      <c r="M29" t="s">
        <v>63</v>
      </c>
      <c r="N29" t="str">
        <f t="shared" si="1"/>
        <v>Jan-2024</v>
      </c>
    </row>
    <row r="30" spans="1:14" x14ac:dyDescent="0.3">
      <c r="A30">
        <v>10104</v>
      </c>
      <c r="B30" s="14" t="s">
        <v>524</v>
      </c>
      <c r="C30" t="s">
        <v>360</v>
      </c>
      <c r="D30" t="s">
        <v>362</v>
      </c>
      <c r="E30" t="s">
        <v>74</v>
      </c>
      <c r="F30" t="s">
        <v>44</v>
      </c>
      <c r="G30" t="s">
        <v>146</v>
      </c>
      <c r="H30">
        <v>7</v>
      </c>
      <c r="I30" s="15">
        <v>3.1</v>
      </c>
      <c r="J30" s="16">
        <v>0</v>
      </c>
      <c r="K30" s="15">
        <f t="shared" si="0"/>
        <v>21.7</v>
      </c>
      <c r="L30" s="15">
        <f>ROUND(K30*VLOOKUP(F30,Reference!$A$4:$B$7,2,FALSE()),2)</f>
        <v>7.6</v>
      </c>
      <c r="M30" t="s">
        <v>46</v>
      </c>
      <c r="N30" t="str">
        <f t="shared" si="1"/>
        <v>Jan-2024</v>
      </c>
    </row>
    <row r="31" spans="1:14" x14ac:dyDescent="0.3">
      <c r="A31">
        <v>10366</v>
      </c>
      <c r="B31" s="14" t="s">
        <v>617</v>
      </c>
      <c r="C31" t="s">
        <v>600</v>
      </c>
      <c r="D31" t="s">
        <v>246</v>
      </c>
      <c r="E31" t="s">
        <v>61</v>
      </c>
      <c r="F31" t="s">
        <v>56</v>
      </c>
      <c r="G31" t="s">
        <v>217</v>
      </c>
      <c r="H31">
        <v>8</v>
      </c>
      <c r="I31" s="15">
        <v>8</v>
      </c>
      <c r="J31" s="16">
        <v>0.05</v>
      </c>
      <c r="K31" s="15">
        <f t="shared" si="0"/>
        <v>60.8</v>
      </c>
      <c r="L31" s="15">
        <f>ROUND(K31*VLOOKUP(F31,Reference!$A$4:$B$7,2,FALSE()),2)</f>
        <v>13.38</v>
      </c>
      <c r="M31" t="s">
        <v>46</v>
      </c>
      <c r="N31" t="str">
        <f t="shared" si="1"/>
        <v>Feb-2024</v>
      </c>
    </row>
    <row r="32" spans="1:14" x14ac:dyDescent="0.3">
      <c r="A32">
        <v>10125</v>
      </c>
      <c r="B32" s="14" t="s">
        <v>346</v>
      </c>
      <c r="C32" t="s">
        <v>347</v>
      </c>
      <c r="D32" t="s">
        <v>239</v>
      </c>
      <c r="E32" t="s">
        <v>61</v>
      </c>
      <c r="F32" t="s">
        <v>56</v>
      </c>
      <c r="G32" t="s">
        <v>57</v>
      </c>
      <c r="H32">
        <v>9</v>
      </c>
      <c r="I32" s="15">
        <v>55</v>
      </c>
      <c r="J32" s="16">
        <v>0</v>
      </c>
      <c r="K32" s="15">
        <f t="shared" si="0"/>
        <v>495</v>
      </c>
      <c r="L32" s="15">
        <f>ROUND(K32*VLOOKUP(F32,Reference!$A$4:$B$7,2,FALSE()),2)</f>
        <v>108.9</v>
      </c>
      <c r="M32" t="s">
        <v>63</v>
      </c>
      <c r="N32" t="str">
        <f t="shared" si="1"/>
        <v>Feb-2024</v>
      </c>
    </row>
    <row r="33" spans="1:14" x14ac:dyDescent="0.3">
      <c r="A33">
        <v>10184</v>
      </c>
      <c r="B33" s="14" t="s">
        <v>611</v>
      </c>
      <c r="C33" t="s">
        <v>117</v>
      </c>
      <c r="D33" t="s">
        <v>152</v>
      </c>
      <c r="E33" t="s">
        <v>91</v>
      </c>
      <c r="F33" t="s">
        <v>44</v>
      </c>
      <c r="G33" t="s">
        <v>146</v>
      </c>
      <c r="H33">
        <v>3</v>
      </c>
      <c r="I33" s="15">
        <v>3.1</v>
      </c>
      <c r="J33" s="16">
        <v>0</v>
      </c>
      <c r="K33" s="15">
        <f t="shared" si="0"/>
        <v>9.3000000000000007</v>
      </c>
      <c r="L33" s="15">
        <f>ROUND(K33*VLOOKUP(F33,Reference!$A$4:$B$7,2,FALSE()),2)</f>
        <v>3.26</v>
      </c>
      <c r="M33" t="s">
        <v>63</v>
      </c>
      <c r="N33" t="str">
        <f t="shared" si="1"/>
        <v>Feb-2024</v>
      </c>
    </row>
    <row r="34" spans="1:14" x14ac:dyDescent="0.3">
      <c r="A34">
        <v>10307</v>
      </c>
      <c r="B34" s="14" t="s">
        <v>283</v>
      </c>
      <c r="C34" t="s">
        <v>69</v>
      </c>
      <c r="D34" t="s">
        <v>284</v>
      </c>
      <c r="E34" t="s">
        <v>125</v>
      </c>
      <c r="F34" t="s">
        <v>56</v>
      </c>
      <c r="G34" t="s">
        <v>133</v>
      </c>
      <c r="H34">
        <v>2</v>
      </c>
      <c r="I34" s="15">
        <v>9.99</v>
      </c>
      <c r="J34" s="16">
        <v>0</v>
      </c>
      <c r="K34" s="15">
        <f t="shared" si="0"/>
        <v>19.98</v>
      </c>
      <c r="L34" s="15">
        <f>ROUND(K34*VLOOKUP(F34,Reference!$A$4:$B$7,2,FALSE()),2)</f>
        <v>4.4000000000000004</v>
      </c>
      <c r="M34" t="s">
        <v>52</v>
      </c>
      <c r="N34" t="str">
        <f t="shared" si="1"/>
        <v>Feb-2024</v>
      </c>
    </row>
    <row r="35" spans="1:14" x14ac:dyDescent="0.3">
      <c r="A35">
        <v>10032</v>
      </c>
      <c r="B35" s="14" t="s">
        <v>113</v>
      </c>
      <c r="C35" t="s">
        <v>108</v>
      </c>
      <c r="D35" t="s">
        <v>314</v>
      </c>
      <c r="E35" t="s">
        <v>43</v>
      </c>
      <c r="F35" t="s">
        <v>56</v>
      </c>
      <c r="G35" t="s">
        <v>217</v>
      </c>
      <c r="H35">
        <v>10</v>
      </c>
      <c r="I35" s="15">
        <v>8</v>
      </c>
      <c r="J35" s="16">
        <v>0</v>
      </c>
      <c r="K35" s="15">
        <f t="shared" si="0"/>
        <v>80</v>
      </c>
      <c r="L35" s="15">
        <f>ROUND(K35*VLOOKUP(F35,Reference!$A$4:$B$7,2,FALSE()),2)</f>
        <v>17.600000000000001</v>
      </c>
      <c r="M35" t="s">
        <v>52</v>
      </c>
      <c r="N35" t="str">
        <f t="shared" si="1"/>
        <v>Feb-2024</v>
      </c>
    </row>
    <row r="36" spans="1:14" x14ac:dyDescent="0.3">
      <c r="A36">
        <v>10262</v>
      </c>
      <c r="B36" s="14" t="s">
        <v>113</v>
      </c>
      <c r="C36" t="s">
        <v>114</v>
      </c>
      <c r="D36" t="s">
        <v>115</v>
      </c>
      <c r="E36" t="s">
        <v>43</v>
      </c>
      <c r="F36" t="s">
        <v>44</v>
      </c>
      <c r="G36" t="s">
        <v>45</v>
      </c>
      <c r="H36">
        <v>7</v>
      </c>
      <c r="I36" s="15">
        <v>4.25</v>
      </c>
      <c r="J36" s="16">
        <v>0</v>
      </c>
      <c r="K36" s="15">
        <f t="shared" si="0"/>
        <v>29.75</v>
      </c>
      <c r="L36" s="15">
        <f>ROUND(K36*VLOOKUP(F36,Reference!$A$4:$B$7,2,FALSE()),2)</f>
        <v>10.41</v>
      </c>
      <c r="M36" t="s">
        <v>63</v>
      </c>
      <c r="N36" t="str">
        <f t="shared" si="1"/>
        <v>Feb-2024</v>
      </c>
    </row>
    <row r="37" spans="1:14" x14ac:dyDescent="0.3">
      <c r="A37">
        <v>10358</v>
      </c>
      <c r="B37" s="14" t="s">
        <v>576</v>
      </c>
      <c r="C37" t="s">
        <v>521</v>
      </c>
      <c r="D37" t="s">
        <v>379</v>
      </c>
      <c r="E37" t="s">
        <v>91</v>
      </c>
      <c r="F37" t="s">
        <v>75</v>
      </c>
      <c r="G37" t="s">
        <v>76</v>
      </c>
      <c r="H37">
        <v>10</v>
      </c>
      <c r="I37" s="15">
        <v>22</v>
      </c>
      <c r="J37" s="16">
        <v>0.25</v>
      </c>
      <c r="K37" s="15">
        <f t="shared" si="0"/>
        <v>165</v>
      </c>
      <c r="L37" s="15">
        <f>ROUND(K37*VLOOKUP(F37,Reference!$A$4:$B$7,2,FALSE()),2)</f>
        <v>46.2</v>
      </c>
      <c r="M37" t="s">
        <v>46</v>
      </c>
      <c r="N37" t="str">
        <f t="shared" si="1"/>
        <v>Feb-2024</v>
      </c>
    </row>
    <row r="38" spans="1:14" x14ac:dyDescent="0.3">
      <c r="A38">
        <v>10131</v>
      </c>
      <c r="B38" s="14" t="s">
        <v>454</v>
      </c>
      <c r="C38" t="s">
        <v>316</v>
      </c>
      <c r="D38" t="s">
        <v>455</v>
      </c>
      <c r="E38" t="s">
        <v>43</v>
      </c>
      <c r="F38" t="s">
        <v>56</v>
      </c>
      <c r="G38" t="s">
        <v>133</v>
      </c>
      <c r="H38">
        <v>6</v>
      </c>
      <c r="I38" s="15">
        <v>9.99</v>
      </c>
      <c r="J38" s="16">
        <v>0</v>
      </c>
      <c r="K38" s="15">
        <f t="shared" si="0"/>
        <v>59.94</v>
      </c>
      <c r="L38" s="15">
        <f>ROUND(K38*VLOOKUP(F38,Reference!$A$4:$B$7,2,FALSE()),2)</f>
        <v>13.19</v>
      </c>
      <c r="M38" t="s">
        <v>46</v>
      </c>
      <c r="N38" t="str">
        <f t="shared" si="1"/>
        <v>Feb-2024</v>
      </c>
    </row>
    <row r="39" spans="1:14" x14ac:dyDescent="0.3">
      <c r="A39">
        <v>10163</v>
      </c>
      <c r="B39" s="14" t="s">
        <v>96</v>
      </c>
      <c r="C39" t="s">
        <v>197</v>
      </c>
      <c r="D39" t="s">
        <v>198</v>
      </c>
      <c r="E39" t="s">
        <v>125</v>
      </c>
      <c r="F39" t="s">
        <v>56</v>
      </c>
      <c r="G39" t="s">
        <v>57</v>
      </c>
      <c r="H39">
        <v>1</v>
      </c>
      <c r="I39" s="15">
        <v>55</v>
      </c>
      <c r="J39" s="16">
        <v>0.2</v>
      </c>
      <c r="K39" s="15">
        <f t="shared" si="0"/>
        <v>44</v>
      </c>
      <c r="L39" s="15">
        <f>ROUND(K39*VLOOKUP(F39,Reference!$A$4:$B$7,2,FALSE()),2)</f>
        <v>9.68</v>
      </c>
      <c r="M39" t="s">
        <v>63</v>
      </c>
      <c r="N39" t="str">
        <f t="shared" si="1"/>
        <v>Feb-2024</v>
      </c>
    </row>
    <row r="40" spans="1:14" x14ac:dyDescent="0.3">
      <c r="A40">
        <v>10228</v>
      </c>
      <c r="B40" s="14" t="s">
        <v>96</v>
      </c>
      <c r="C40" t="s">
        <v>383</v>
      </c>
      <c r="D40" t="s">
        <v>384</v>
      </c>
      <c r="E40" t="s">
        <v>91</v>
      </c>
      <c r="F40" t="s">
        <v>56</v>
      </c>
      <c r="G40" t="s">
        <v>133</v>
      </c>
      <c r="H40">
        <v>8</v>
      </c>
      <c r="I40" s="15">
        <v>9.99</v>
      </c>
      <c r="J40" s="16">
        <v>0</v>
      </c>
      <c r="K40" s="15">
        <f t="shared" si="0"/>
        <v>79.92</v>
      </c>
      <c r="L40" s="15">
        <f>ROUND(K40*VLOOKUP(F40,Reference!$A$4:$B$7,2,FALSE()),2)</f>
        <v>17.579999999999998</v>
      </c>
      <c r="M40" t="s">
        <v>63</v>
      </c>
      <c r="N40" t="str">
        <f t="shared" si="1"/>
        <v>Feb-2024</v>
      </c>
    </row>
    <row r="41" spans="1:14" x14ac:dyDescent="0.3">
      <c r="A41">
        <v>10012</v>
      </c>
      <c r="B41" s="14" t="s">
        <v>96</v>
      </c>
      <c r="C41" t="s">
        <v>385</v>
      </c>
      <c r="D41" t="s">
        <v>296</v>
      </c>
      <c r="E41" t="s">
        <v>43</v>
      </c>
      <c r="F41" t="s">
        <v>75</v>
      </c>
      <c r="G41" t="s">
        <v>202</v>
      </c>
      <c r="H41">
        <v>3</v>
      </c>
      <c r="I41" s="15">
        <v>34.5</v>
      </c>
      <c r="J41" s="16">
        <v>0.2</v>
      </c>
      <c r="K41" s="15">
        <f t="shared" si="0"/>
        <v>82.8</v>
      </c>
      <c r="L41" s="15">
        <f>ROUND(K41*VLOOKUP(F41,Reference!$A$4:$B$7,2,FALSE()),2)</f>
        <v>23.18</v>
      </c>
      <c r="M41" t="s">
        <v>46</v>
      </c>
      <c r="N41" t="str">
        <f t="shared" si="1"/>
        <v>Feb-2024</v>
      </c>
    </row>
    <row r="42" spans="1:14" x14ac:dyDescent="0.3">
      <c r="A42">
        <v>10103</v>
      </c>
      <c r="B42" s="14" t="s">
        <v>96</v>
      </c>
      <c r="C42" t="s">
        <v>290</v>
      </c>
      <c r="D42" t="s">
        <v>580</v>
      </c>
      <c r="E42" t="s">
        <v>61</v>
      </c>
      <c r="F42" t="s">
        <v>75</v>
      </c>
      <c r="G42" t="s">
        <v>126</v>
      </c>
      <c r="H42">
        <v>8</v>
      </c>
      <c r="I42" s="15">
        <v>12.99</v>
      </c>
      <c r="J42" s="16">
        <v>0</v>
      </c>
      <c r="K42" s="15">
        <f t="shared" si="0"/>
        <v>103.92</v>
      </c>
      <c r="L42" s="15">
        <f>ROUND(K42*VLOOKUP(F42,Reference!$A$4:$B$7,2,FALSE()),2)</f>
        <v>29.1</v>
      </c>
      <c r="M42" t="s">
        <v>52</v>
      </c>
      <c r="N42" t="str">
        <f t="shared" si="1"/>
        <v>Feb-2024</v>
      </c>
    </row>
    <row r="43" spans="1:14" x14ac:dyDescent="0.3">
      <c r="A43">
        <v>10348</v>
      </c>
      <c r="B43" s="14" t="s">
        <v>96</v>
      </c>
      <c r="C43" t="s">
        <v>97</v>
      </c>
      <c r="D43" t="s">
        <v>98</v>
      </c>
      <c r="E43" t="s">
        <v>43</v>
      </c>
      <c r="F43" t="s">
        <v>50</v>
      </c>
      <c r="G43" t="s">
        <v>99</v>
      </c>
      <c r="H43">
        <v>4</v>
      </c>
      <c r="I43" s="15">
        <v>15</v>
      </c>
      <c r="J43" s="16">
        <v>0</v>
      </c>
      <c r="K43" s="15">
        <f t="shared" si="0"/>
        <v>60</v>
      </c>
      <c r="L43" s="15">
        <f>ROUND(K43*VLOOKUP(F43,Reference!$A$4:$B$7,2,FALSE()),2)</f>
        <v>10.8</v>
      </c>
      <c r="M43" t="s">
        <v>46</v>
      </c>
      <c r="N43" t="str">
        <f t="shared" si="1"/>
        <v>Feb-2024</v>
      </c>
    </row>
    <row r="44" spans="1:14" x14ac:dyDescent="0.3">
      <c r="A44">
        <v>10198</v>
      </c>
      <c r="B44" s="14" t="s">
        <v>96</v>
      </c>
      <c r="C44" t="s">
        <v>97</v>
      </c>
      <c r="D44" t="s">
        <v>331</v>
      </c>
      <c r="E44" t="s">
        <v>61</v>
      </c>
      <c r="F44" t="s">
        <v>56</v>
      </c>
      <c r="G44" t="s">
        <v>149</v>
      </c>
      <c r="H44">
        <v>4</v>
      </c>
      <c r="I44" s="15">
        <v>42</v>
      </c>
      <c r="J44" s="16">
        <v>0.15</v>
      </c>
      <c r="K44" s="15">
        <f t="shared" si="0"/>
        <v>142.80000000000001</v>
      </c>
      <c r="L44" s="15">
        <f>ROUND(K44*VLOOKUP(F44,Reference!$A$4:$B$7,2,FALSE()),2)</f>
        <v>31.42</v>
      </c>
      <c r="M44" t="s">
        <v>46</v>
      </c>
      <c r="N44" t="str">
        <f t="shared" si="1"/>
        <v>Feb-2024</v>
      </c>
    </row>
    <row r="45" spans="1:14" x14ac:dyDescent="0.3">
      <c r="A45">
        <v>10263</v>
      </c>
      <c r="B45" s="14" t="s">
        <v>96</v>
      </c>
      <c r="C45" t="s">
        <v>367</v>
      </c>
      <c r="D45" t="s">
        <v>420</v>
      </c>
      <c r="E45" t="s">
        <v>43</v>
      </c>
      <c r="F45" t="s">
        <v>44</v>
      </c>
      <c r="G45" t="s">
        <v>156</v>
      </c>
      <c r="H45">
        <v>6</v>
      </c>
      <c r="I45" s="15">
        <v>27</v>
      </c>
      <c r="J45" s="16">
        <v>0.1</v>
      </c>
      <c r="K45" s="15">
        <f t="shared" si="0"/>
        <v>145.80000000000001</v>
      </c>
      <c r="L45" s="15">
        <f>ROUND(K45*VLOOKUP(F45,Reference!$A$4:$B$7,2,FALSE()),2)</f>
        <v>51.03</v>
      </c>
      <c r="M45" t="s">
        <v>52</v>
      </c>
      <c r="N45" t="str">
        <f t="shared" si="1"/>
        <v>Feb-2024</v>
      </c>
    </row>
    <row r="46" spans="1:14" x14ac:dyDescent="0.3">
      <c r="A46">
        <v>10074</v>
      </c>
      <c r="B46" s="14" t="s">
        <v>577</v>
      </c>
      <c r="C46" t="s">
        <v>86</v>
      </c>
      <c r="D46" t="s">
        <v>136</v>
      </c>
      <c r="E46" t="s">
        <v>74</v>
      </c>
      <c r="F46" t="s">
        <v>50</v>
      </c>
      <c r="G46" t="s">
        <v>84</v>
      </c>
      <c r="H46">
        <v>4</v>
      </c>
      <c r="I46" s="15">
        <v>75.5</v>
      </c>
      <c r="J46" s="16">
        <v>0.1</v>
      </c>
      <c r="K46" s="15">
        <f t="shared" si="0"/>
        <v>271.8</v>
      </c>
      <c r="L46" s="15">
        <f>ROUND(K46*VLOOKUP(F46,Reference!$A$4:$B$7,2,FALSE()),2)</f>
        <v>48.92</v>
      </c>
      <c r="M46" t="s">
        <v>46</v>
      </c>
      <c r="N46" t="str">
        <f t="shared" si="1"/>
        <v>Feb-2024</v>
      </c>
    </row>
    <row r="47" spans="1:14" x14ac:dyDescent="0.3">
      <c r="A47">
        <v>10242</v>
      </c>
      <c r="B47" s="14" t="s">
        <v>577</v>
      </c>
      <c r="C47" t="s">
        <v>531</v>
      </c>
      <c r="D47" t="s">
        <v>259</v>
      </c>
      <c r="E47" t="s">
        <v>91</v>
      </c>
      <c r="F47" t="s">
        <v>50</v>
      </c>
      <c r="G47" t="s">
        <v>80</v>
      </c>
      <c r="H47">
        <v>5</v>
      </c>
      <c r="I47" s="15">
        <v>89</v>
      </c>
      <c r="J47" s="16">
        <v>0.2</v>
      </c>
      <c r="K47" s="15">
        <f t="shared" si="0"/>
        <v>356</v>
      </c>
      <c r="L47" s="15">
        <f>ROUND(K47*VLOOKUP(F47,Reference!$A$4:$B$7,2,FALSE()),2)</f>
        <v>64.08</v>
      </c>
      <c r="M47" t="s">
        <v>63</v>
      </c>
      <c r="N47" t="str">
        <f t="shared" si="1"/>
        <v>Feb-2024</v>
      </c>
    </row>
    <row r="48" spans="1:14" x14ac:dyDescent="0.3">
      <c r="A48">
        <v>10130</v>
      </c>
      <c r="B48" s="14" t="s">
        <v>513</v>
      </c>
      <c r="C48" t="s">
        <v>280</v>
      </c>
      <c r="D48" t="s">
        <v>341</v>
      </c>
      <c r="E48" t="s">
        <v>74</v>
      </c>
      <c r="F48" t="s">
        <v>56</v>
      </c>
      <c r="G48" t="s">
        <v>57</v>
      </c>
      <c r="H48">
        <v>5</v>
      </c>
      <c r="I48" s="15">
        <v>55</v>
      </c>
      <c r="J48" s="16">
        <v>0.15</v>
      </c>
      <c r="K48" s="15">
        <f t="shared" si="0"/>
        <v>233.75</v>
      </c>
      <c r="L48" s="15">
        <f>ROUND(K48*VLOOKUP(F48,Reference!$A$4:$B$7,2,FALSE()),2)</f>
        <v>51.43</v>
      </c>
      <c r="M48" t="s">
        <v>63</v>
      </c>
      <c r="N48" t="str">
        <f t="shared" si="1"/>
        <v>Feb-2024</v>
      </c>
    </row>
    <row r="49" spans="1:14" x14ac:dyDescent="0.3">
      <c r="A49">
        <v>10154</v>
      </c>
      <c r="B49" s="14" t="s">
        <v>513</v>
      </c>
      <c r="C49" t="s">
        <v>72</v>
      </c>
      <c r="D49" t="s">
        <v>512</v>
      </c>
      <c r="E49" t="s">
        <v>91</v>
      </c>
      <c r="F49" t="s">
        <v>56</v>
      </c>
      <c r="G49" t="s">
        <v>57</v>
      </c>
      <c r="H49">
        <v>5</v>
      </c>
      <c r="I49" s="15">
        <v>55</v>
      </c>
      <c r="J49" s="16">
        <v>0</v>
      </c>
      <c r="K49" s="15">
        <f t="shared" si="0"/>
        <v>275</v>
      </c>
      <c r="L49" s="15">
        <f>ROUND(K49*VLOOKUP(F49,Reference!$A$4:$B$7,2,FALSE()),2)</f>
        <v>60.5</v>
      </c>
      <c r="M49" t="s">
        <v>52</v>
      </c>
      <c r="N49" t="str">
        <f t="shared" si="1"/>
        <v>Feb-2024</v>
      </c>
    </row>
    <row r="50" spans="1:14" x14ac:dyDescent="0.3">
      <c r="A50">
        <v>10362</v>
      </c>
      <c r="B50" s="14" t="s">
        <v>47</v>
      </c>
      <c r="C50" t="s">
        <v>48</v>
      </c>
      <c r="D50" t="s">
        <v>49</v>
      </c>
      <c r="E50" t="s">
        <v>43</v>
      </c>
      <c r="F50" t="s">
        <v>50</v>
      </c>
      <c r="G50" t="s">
        <v>51</v>
      </c>
      <c r="H50">
        <v>5</v>
      </c>
      <c r="I50" s="15">
        <v>120</v>
      </c>
      <c r="J50" s="16">
        <v>0</v>
      </c>
      <c r="K50" s="15">
        <f t="shared" si="0"/>
        <v>600</v>
      </c>
      <c r="L50" s="15">
        <f>ROUND(K50*VLOOKUP(F50,Reference!$A$4:$B$7,2,FALSE()),2)</f>
        <v>108</v>
      </c>
      <c r="M50" t="s">
        <v>52</v>
      </c>
      <c r="N50" t="str">
        <f t="shared" si="1"/>
        <v>Feb-2024</v>
      </c>
    </row>
    <row r="51" spans="1:14" x14ac:dyDescent="0.3">
      <c r="A51">
        <v>10196</v>
      </c>
      <c r="B51" s="14" t="s">
        <v>47</v>
      </c>
      <c r="C51" t="s">
        <v>484</v>
      </c>
      <c r="D51" t="s">
        <v>349</v>
      </c>
      <c r="E51" t="s">
        <v>43</v>
      </c>
      <c r="F51" t="s">
        <v>44</v>
      </c>
      <c r="G51" t="s">
        <v>156</v>
      </c>
      <c r="H51">
        <v>10</v>
      </c>
      <c r="I51" s="15">
        <v>27</v>
      </c>
      <c r="J51" s="16">
        <v>0.2</v>
      </c>
      <c r="K51" s="15">
        <f t="shared" si="0"/>
        <v>216</v>
      </c>
      <c r="L51" s="15">
        <f>ROUND(K51*VLOOKUP(F51,Reference!$A$4:$B$7,2,FALSE()),2)</f>
        <v>75.599999999999994</v>
      </c>
      <c r="M51" t="s">
        <v>46</v>
      </c>
      <c r="N51" t="str">
        <f t="shared" si="1"/>
        <v>Feb-2024</v>
      </c>
    </row>
    <row r="52" spans="1:14" x14ac:dyDescent="0.3">
      <c r="A52">
        <v>10345</v>
      </c>
      <c r="B52" s="14" t="s">
        <v>237</v>
      </c>
      <c r="C52" t="s">
        <v>238</v>
      </c>
      <c r="D52" t="s">
        <v>239</v>
      </c>
      <c r="E52" t="s">
        <v>125</v>
      </c>
      <c r="F52" t="s">
        <v>50</v>
      </c>
      <c r="G52" t="s">
        <v>62</v>
      </c>
      <c r="H52">
        <v>9</v>
      </c>
      <c r="I52" s="15">
        <v>65</v>
      </c>
      <c r="J52" s="16">
        <v>0</v>
      </c>
      <c r="K52" s="15">
        <f t="shared" si="0"/>
        <v>585</v>
      </c>
      <c r="L52" s="15">
        <f>ROUND(K52*VLOOKUP(F52,Reference!$A$4:$B$7,2,FALSE()),2)</f>
        <v>105.3</v>
      </c>
      <c r="M52" t="s">
        <v>52</v>
      </c>
      <c r="N52" t="str">
        <f t="shared" si="1"/>
        <v>Feb-2024</v>
      </c>
    </row>
    <row r="53" spans="1:14" x14ac:dyDescent="0.3">
      <c r="A53">
        <v>10133</v>
      </c>
      <c r="B53" s="14" t="s">
        <v>621</v>
      </c>
      <c r="C53" t="s">
        <v>334</v>
      </c>
      <c r="D53" t="s">
        <v>345</v>
      </c>
      <c r="E53" t="s">
        <v>91</v>
      </c>
      <c r="F53" t="s">
        <v>50</v>
      </c>
      <c r="G53" t="s">
        <v>51</v>
      </c>
      <c r="H53">
        <v>8</v>
      </c>
      <c r="I53" s="15">
        <v>120</v>
      </c>
      <c r="J53" s="16">
        <v>0.05</v>
      </c>
      <c r="K53" s="15">
        <f t="shared" si="0"/>
        <v>912</v>
      </c>
      <c r="L53" s="15">
        <f>ROUND(K53*VLOOKUP(F53,Reference!$A$4:$B$7,2,FALSE()),2)</f>
        <v>164.16</v>
      </c>
      <c r="M53" t="s">
        <v>52</v>
      </c>
      <c r="N53" t="str">
        <f t="shared" si="1"/>
        <v>Feb-2024</v>
      </c>
    </row>
    <row r="54" spans="1:14" x14ac:dyDescent="0.3">
      <c r="A54">
        <v>10035</v>
      </c>
      <c r="B54" s="14" t="s">
        <v>168</v>
      </c>
      <c r="C54" t="s">
        <v>135</v>
      </c>
      <c r="D54" t="s">
        <v>368</v>
      </c>
      <c r="E54" t="s">
        <v>91</v>
      </c>
      <c r="F54" t="s">
        <v>50</v>
      </c>
      <c r="G54" t="s">
        <v>62</v>
      </c>
      <c r="H54">
        <v>5</v>
      </c>
      <c r="I54" s="15">
        <v>65</v>
      </c>
      <c r="J54" s="16">
        <v>0.05</v>
      </c>
      <c r="K54" s="15">
        <f t="shared" si="0"/>
        <v>308.75</v>
      </c>
      <c r="L54" s="15">
        <f>ROUND(K54*VLOOKUP(F54,Reference!$A$4:$B$7,2,FALSE()),2)</f>
        <v>55.58</v>
      </c>
      <c r="M54" t="s">
        <v>46</v>
      </c>
      <c r="N54" t="str">
        <f t="shared" si="1"/>
        <v>Feb-2024</v>
      </c>
    </row>
    <row r="55" spans="1:14" x14ac:dyDescent="0.3">
      <c r="A55">
        <v>10371</v>
      </c>
      <c r="B55" s="14" t="s">
        <v>168</v>
      </c>
      <c r="C55" t="s">
        <v>169</v>
      </c>
      <c r="D55" t="s">
        <v>170</v>
      </c>
      <c r="E55" t="s">
        <v>91</v>
      </c>
      <c r="F55" t="s">
        <v>75</v>
      </c>
      <c r="G55" t="s">
        <v>76</v>
      </c>
      <c r="H55">
        <v>9</v>
      </c>
      <c r="I55" s="15">
        <v>22</v>
      </c>
      <c r="J55" s="16">
        <v>0.15</v>
      </c>
      <c r="K55" s="15">
        <f t="shared" si="0"/>
        <v>168.3</v>
      </c>
      <c r="L55" s="15">
        <f>ROUND(K55*VLOOKUP(F55,Reference!$A$4:$B$7,2,FALSE()),2)</f>
        <v>47.12</v>
      </c>
      <c r="M55" t="s">
        <v>46</v>
      </c>
      <c r="N55" t="str">
        <f t="shared" si="1"/>
        <v>Feb-2024</v>
      </c>
    </row>
    <row r="56" spans="1:14" x14ac:dyDescent="0.3">
      <c r="A56">
        <v>10127</v>
      </c>
      <c r="B56" s="14" t="s">
        <v>418</v>
      </c>
      <c r="C56" t="s">
        <v>419</v>
      </c>
      <c r="D56" t="s">
        <v>420</v>
      </c>
      <c r="E56" t="s">
        <v>61</v>
      </c>
      <c r="F56" t="s">
        <v>56</v>
      </c>
      <c r="G56" t="s">
        <v>133</v>
      </c>
      <c r="H56">
        <v>2</v>
      </c>
      <c r="I56" s="15">
        <v>9.99</v>
      </c>
      <c r="J56" s="16">
        <v>0.15</v>
      </c>
      <c r="K56" s="15">
        <f t="shared" si="0"/>
        <v>16.98</v>
      </c>
      <c r="L56" s="15">
        <f>ROUND(K56*VLOOKUP(F56,Reference!$A$4:$B$7,2,FALSE()),2)</f>
        <v>3.74</v>
      </c>
      <c r="M56" t="s">
        <v>52</v>
      </c>
      <c r="N56" t="str">
        <f t="shared" si="1"/>
        <v>Feb-2024</v>
      </c>
    </row>
    <row r="57" spans="1:14" x14ac:dyDescent="0.3">
      <c r="A57">
        <v>10134</v>
      </c>
      <c r="B57" s="14" t="s">
        <v>369</v>
      </c>
      <c r="C57" t="s">
        <v>294</v>
      </c>
      <c r="D57" t="s">
        <v>308</v>
      </c>
      <c r="E57" t="s">
        <v>74</v>
      </c>
      <c r="F57" t="s">
        <v>50</v>
      </c>
      <c r="G57" t="s">
        <v>84</v>
      </c>
      <c r="H57">
        <v>9</v>
      </c>
      <c r="I57" s="15">
        <v>75.5</v>
      </c>
      <c r="J57" s="16">
        <v>0</v>
      </c>
      <c r="K57" s="15">
        <f t="shared" si="0"/>
        <v>679.5</v>
      </c>
      <c r="L57" s="15">
        <f>ROUND(K57*VLOOKUP(F57,Reference!$A$4:$B$7,2,FALSE()),2)</f>
        <v>122.31</v>
      </c>
      <c r="M57" t="s">
        <v>63</v>
      </c>
      <c r="N57" t="str">
        <f t="shared" si="1"/>
        <v>Feb-2024</v>
      </c>
    </row>
    <row r="58" spans="1:14" x14ac:dyDescent="0.3">
      <c r="A58">
        <v>10080</v>
      </c>
      <c r="B58" s="14" t="s">
        <v>369</v>
      </c>
      <c r="C58" t="s">
        <v>223</v>
      </c>
      <c r="D58" t="s">
        <v>370</v>
      </c>
      <c r="E58" t="s">
        <v>43</v>
      </c>
      <c r="F58" t="s">
        <v>56</v>
      </c>
      <c r="G58" t="s">
        <v>366</v>
      </c>
      <c r="H58">
        <v>2</v>
      </c>
      <c r="I58" s="15">
        <v>38.5</v>
      </c>
      <c r="J58" s="16">
        <v>0</v>
      </c>
      <c r="K58" s="15">
        <f t="shared" si="0"/>
        <v>77</v>
      </c>
      <c r="L58" s="15">
        <f>ROUND(K58*VLOOKUP(F58,Reference!$A$4:$B$7,2,FALSE()),2)</f>
        <v>16.940000000000001</v>
      </c>
      <c r="M58" t="s">
        <v>63</v>
      </c>
      <c r="N58" t="str">
        <f t="shared" si="1"/>
        <v>Feb-2024</v>
      </c>
    </row>
    <row r="59" spans="1:14" x14ac:dyDescent="0.3">
      <c r="A59">
        <v>10244</v>
      </c>
      <c r="B59" s="14" t="s">
        <v>612</v>
      </c>
      <c r="C59" t="s">
        <v>605</v>
      </c>
      <c r="D59" t="s">
        <v>584</v>
      </c>
      <c r="E59" t="s">
        <v>61</v>
      </c>
      <c r="F59" t="s">
        <v>50</v>
      </c>
      <c r="G59" t="s">
        <v>99</v>
      </c>
      <c r="H59">
        <v>4</v>
      </c>
      <c r="I59" s="15">
        <v>15</v>
      </c>
      <c r="J59" s="16">
        <v>0.2</v>
      </c>
      <c r="K59" s="15">
        <f t="shared" si="0"/>
        <v>48</v>
      </c>
      <c r="L59" s="15">
        <f>ROUND(K59*VLOOKUP(F59,Reference!$A$4:$B$7,2,FALSE()),2)</f>
        <v>8.64</v>
      </c>
      <c r="M59" t="s">
        <v>52</v>
      </c>
      <c r="N59" t="str">
        <f t="shared" si="1"/>
        <v>Mar-2024</v>
      </c>
    </row>
    <row r="60" spans="1:14" x14ac:dyDescent="0.3">
      <c r="A60">
        <v>10368</v>
      </c>
      <c r="B60" s="14" t="s">
        <v>557</v>
      </c>
      <c r="C60" t="s">
        <v>441</v>
      </c>
      <c r="D60" t="s">
        <v>109</v>
      </c>
      <c r="E60" t="s">
        <v>43</v>
      </c>
      <c r="F60" t="s">
        <v>56</v>
      </c>
      <c r="G60" t="s">
        <v>133</v>
      </c>
      <c r="H60">
        <v>7</v>
      </c>
      <c r="I60" s="15">
        <v>9.99</v>
      </c>
      <c r="J60" s="16">
        <v>0.05</v>
      </c>
      <c r="K60" s="15">
        <f t="shared" si="0"/>
        <v>66.430000000000007</v>
      </c>
      <c r="L60" s="15">
        <f>ROUND(K60*VLOOKUP(F60,Reference!$A$4:$B$7,2,FALSE()),2)</f>
        <v>14.61</v>
      </c>
      <c r="M60" t="s">
        <v>52</v>
      </c>
      <c r="N60" t="str">
        <f t="shared" si="1"/>
        <v>Mar-2024</v>
      </c>
    </row>
    <row r="61" spans="1:14" x14ac:dyDescent="0.3">
      <c r="A61">
        <v>10100</v>
      </c>
      <c r="B61" s="14" t="s">
        <v>557</v>
      </c>
      <c r="C61" t="s">
        <v>574</v>
      </c>
      <c r="D61" t="s">
        <v>587</v>
      </c>
      <c r="E61" t="s">
        <v>91</v>
      </c>
      <c r="F61" t="s">
        <v>44</v>
      </c>
      <c r="G61" t="s">
        <v>67</v>
      </c>
      <c r="H61">
        <v>8</v>
      </c>
      <c r="I61" s="15">
        <v>5.5</v>
      </c>
      <c r="J61" s="16">
        <v>0</v>
      </c>
      <c r="K61" s="15">
        <f t="shared" si="0"/>
        <v>44</v>
      </c>
      <c r="L61" s="15">
        <f>ROUND(K61*VLOOKUP(F61,Reference!$A$4:$B$7,2,FALSE()),2)</f>
        <v>15.4</v>
      </c>
      <c r="M61" t="s">
        <v>46</v>
      </c>
      <c r="N61" t="str">
        <f t="shared" si="1"/>
        <v>Mar-2024</v>
      </c>
    </row>
    <row r="62" spans="1:14" x14ac:dyDescent="0.3">
      <c r="A62">
        <v>10195</v>
      </c>
      <c r="B62" s="14" t="s">
        <v>269</v>
      </c>
      <c r="C62" t="s">
        <v>238</v>
      </c>
      <c r="D62" t="s">
        <v>453</v>
      </c>
      <c r="E62" t="s">
        <v>74</v>
      </c>
      <c r="F62" t="s">
        <v>75</v>
      </c>
      <c r="G62" t="s">
        <v>76</v>
      </c>
      <c r="H62">
        <v>4</v>
      </c>
      <c r="I62" s="15">
        <v>22</v>
      </c>
      <c r="J62" s="16">
        <v>0.25</v>
      </c>
      <c r="K62" s="15">
        <f t="shared" si="0"/>
        <v>66</v>
      </c>
      <c r="L62" s="15">
        <f>ROUND(K62*VLOOKUP(F62,Reference!$A$4:$B$7,2,FALSE()),2)</f>
        <v>18.48</v>
      </c>
      <c r="M62" t="s">
        <v>63</v>
      </c>
      <c r="N62" t="str">
        <f t="shared" si="1"/>
        <v>Mar-2024</v>
      </c>
    </row>
    <row r="63" spans="1:14" x14ac:dyDescent="0.3">
      <c r="A63">
        <v>10186</v>
      </c>
      <c r="B63" s="14" t="s">
        <v>269</v>
      </c>
      <c r="C63" t="s">
        <v>270</v>
      </c>
      <c r="D63" t="s">
        <v>271</v>
      </c>
      <c r="E63" t="s">
        <v>91</v>
      </c>
      <c r="F63" t="s">
        <v>75</v>
      </c>
      <c r="G63" t="s">
        <v>126</v>
      </c>
      <c r="H63">
        <v>5</v>
      </c>
      <c r="I63" s="15">
        <v>12.99</v>
      </c>
      <c r="J63" s="16">
        <v>0.2</v>
      </c>
      <c r="K63" s="15">
        <f t="shared" si="0"/>
        <v>51.96</v>
      </c>
      <c r="L63" s="15">
        <f>ROUND(K63*VLOOKUP(F63,Reference!$A$4:$B$7,2,FALSE()),2)</f>
        <v>14.55</v>
      </c>
      <c r="M63" t="s">
        <v>52</v>
      </c>
      <c r="N63" t="str">
        <f t="shared" si="1"/>
        <v>Mar-2024</v>
      </c>
    </row>
    <row r="64" spans="1:14" x14ac:dyDescent="0.3">
      <c r="A64">
        <v>10033</v>
      </c>
      <c r="B64" s="14" t="s">
        <v>199</v>
      </c>
      <c r="C64" t="s">
        <v>200</v>
      </c>
      <c r="D64" t="s">
        <v>201</v>
      </c>
      <c r="E64" t="s">
        <v>74</v>
      </c>
      <c r="F64" t="s">
        <v>75</v>
      </c>
      <c r="G64" t="s">
        <v>202</v>
      </c>
      <c r="H64">
        <v>6</v>
      </c>
      <c r="I64" s="15">
        <v>34.5</v>
      </c>
      <c r="J64" s="16">
        <v>0.1</v>
      </c>
      <c r="K64" s="15">
        <f t="shared" si="0"/>
        <v>186.3</v>
      </c>
      <c r="L64" s="15">
        <f>ROUND(K64*VLOOKUP(F64,Reference!$A$4:$B$7,2,FALSE()),2)</f>
        <v>52.16</v>
      </c>
      <c r="M64" t="s">
        <v>46</v>
      </c>
      <c r="N64" t="str">
        <f t="shared" si="1"/>
        <v>Mar-2024</v>
      </c>
    </row>
    <row r="65" spans="1:14" x14ac:dyDescent="0.3">
      <c r="A65">
        <v>10308</v>
      </c>
      <c r="B65" s="14" t="s">
        <v>502</v>
      </c>
      <c r="C65" t="s">
        <v>503</v>
      </c>
      <c r="D65" t="s">
        <v>162</v>
      </c>
      <c r="E65" t="s">
        <v>125</v>
      </c>
      <c r="F65" t="s">
        <v>75</v>
      </c>
      <c r="G65" t="s">
        <v>303</v>
      </c>
      <c r="H65">
        <v>10</v>
      </c>
      <c r="I65" s="15">
        <v>29.99</v>
      </c>
      <c r="J65" s="16">
        <v>0</v>
      </c>
      <c r="K65" s="15">
        <f t="shared" si="0"/>
        <v>299.89999999999998</v>
      </c>
      <c r="L65" s="15">
        <f>ROUND(K65*VLOOKUP(F65,Reference!$A$4:$B$7,2,FALSE()),2)</f>
        <v>83.97</v>
      </c>
      <c r="M65" t="s">
        <v>52</v>
      </c>
      <c r="N65" t="str">
        <f t="shared" si="1"/>
        <v>Mar-2024</v>
      </c>
    </row>
    <row r="66" spans="1:14" x14ac:dyDescent="0.3">
      <c r="A66">
        <v>10183</v>
      </c>
      <c r="B66" s="14" t="s">
        <v>510</v>
      </c>
      <c r="C66" t="s">
        <v>200</v>
      </c>
      <c r="D66" t="s">
        <v>115</v>
      </c>
      <c r="E66" t="s">
        <v>43</v>
      </c>
      <c r="F66" t="s">
        <v>56</v>
      </c>
      <c r="G66" t="s">
        <v>149</v>
      </c>
      <c r="H66">
        <v>8</v>
      </c>
      <c r="I66" s="15">
        <v>42</v>
      </c>
      <c r="J66" s="16">
        <v>0</v>
      </c>
      <c r="K66" s="15">
        <f t="shared" si="0"/>
        <v>336</v>
      </c>
      <c r="L66" s="15">
        <f>ROUND(K66*VLOOKUP(F66,Reference!$A$4:$B$7,2,FALSE()),2)</f>
        <v>73.92</v>
      </c>
      <c r="M66" t="s">
        <v>46</v>
      </c>
      <c r="N66" t="str">
        <f t="shared" si="1"/>
        <v>Mar-2024</v>
      </c>
    </row>
    <row r="67" spans="1:14" x14ac:dyDescent="0.3">
      <c r="A67">
        <v>10136</v>
      </c>
      <c r="B67" s="14" t="s">
        <v>300</v>
      </c>
      <c r="C67" t="s">
        <v>301</v>
      </c>
      <c r="D67" t="s">
        <v>302</v>
      </c>
      <c r="E67" t="s">
        <v>43</v>
      </c>
      <c r="F67" t="s">
        <v>75</v>
      </c>
      <c r="G67" t="s">
        <v>303</v>
      </c>
      <c r="H67">
        <v>4</v>
      </c>
      <c r="I67" s="15">
        <v>29.99</v>
      </c>
      <c r="J67" s="16">
        <v>0.2</v>
      </c>
      <c r="K67" s="15">
        <f t="shared" si="0"/>
        <v>95.97</v>
      </c>
      <c r="L67" s="15">
        <f>ROUND(K67*VLOOKUP(F67,Reference!$A$4:$B$7,2,FALSE()),2)</f>
        <v>26.87</v>
      </c>
      <c r="M67" t="s">
        <v>52</v>
      </c>
      <c r="N67" t="str">
        <f t="shared" si="1"/>
        <v>Mar-2024</v>
      </c>
    </row>
    <row r="68" spans="1:14" x14ac:dyDescent="0.3">
      <c r="A68">
        <v>10086</v>
      </c>
      <c r="B68" s="14" t="s">
        <v>300</v>
      </c>
      <c r="C68" t="s">
        <v>526</v>
      </c>
      <c r="D68" t="s">
        <v>328</v>
      </c>
      <c r="E68" t="s">
        <v>43</v>
      </c>
      <c r="F68" t="s">
        <v>75</v>
      </c>
      <c r="G68" t="s">
        <v>202</v>
      </c>
      <c r="H68">
        <v>5</v>
      </c>
      <c r="I68" s="15">
        <v>34.5</v>
      </c>
      <c r="J68" s="16">
        <v>0.1</v>
      </c>
      <c r="K68" s="15">
        <f t="shared" ref="K68:K131" si="2">ROUND(H68*I68*(1-J68),2)</f>
        <v>155.25</v>
      </c>
      <c r="L68" s="15">
        <f>ROUND(K68*VLOOKUP(F68,Reference!$A$4:$B$7,2,FALSE()),2)</f>
        <v>43.47</v>
      </c>
      <c r="M68" t="s">
        <v>46</v>
      </c>
      <c r="N68" t="str">
        <f t="shared" ref="N68:N131" si="3">TEXT(B68,"mmm-yyyy")</f>
        <v>Mar-2024</v>
      </c>
    </row>
    <row r="69" spans="1:14" x14ac:dyDescent="0.3">
      <c r="A69">
        <v>10279</v>
      </c>
      <c r="B69" s="14" t="s">
        <v>300</v>
      </c>
      <c r="C69" t="s">
        <v>188</v>
      </c>
      <c r="D69" t="s">
        <v>136</v>
      </c>
      <c r="E69" t="s">
        <v>74</v>
      </c>
      <c r="F69" t="s">
        <v>44</v>
      </c>
      <c r="G69" t="s">
        <v>146</v>
      </c>
      <c r="H69">
        <v>8</v>
      </c>
      <c r="I69" s="15">
        <v>3.1</v>
      </c>
      <c r="J69" s="16">
        <v>0.05</v>
      </c>
      <c r="K69" s="15">
        <f t="shared" si="2"/>
        <v>23.56</v>
      </c>
      <c r="L69" s="15">
        <f>ROUND(K69*VLOOKUP(F69,Reference!$A$4:$B$7,2,FALSE()),2)</f>
        <v>8.25</v>
      </c>
      <c r="M69" t="s">
        <v>63</v>
      </c>
      <c r="N69" t="str">
        <f t="shared" si="3"/>
        <v>Mar-2024</v>
      </c>
    </row>
    <row r="70" spans="1:14" x14ac:dyDescent="0.3">
      <c r="A70">
        <v>10101</v>
      </c>
      <c r="B70" s="14" t="s">
        <v>275</v>
      </c>
      <c r="C70" t="s">
        <v>276</v>
      </c>
      <c r="D70" t="s">
        <v>277</v>
      </c>
      <c r="E70" t="s">
        <v>61</v>
      </c>
      <c r="F70" t="s">
        <v>50</v>
      </c>
      <c r="G70" t="s">
        <v>80</v>
      </c>
      <c r="H70">
        <v>8</v>
      </c>
      <c r="I70" s="15">
        <v>89</v>
      </c>
      <c r="J70" s="16">
        <v>0.1</v>
      </c>
      <c r="K70" s="15">
        <f t="shared" si="2"/>
        <v>640.79999999999995</v>
      </c>
      <c r="L70" s="15">
        <f>ROUND(K70*VLOOKUP(F70,Reference!$A$4:$B$7,2,FALSE()),2)</f>
        <v>115.34</v>
      </c>
      <c r="M70" t="s">
        <v>52</v>
      </c>
      <c r="N70" t="str">
        <f t="shared" si="3"/>
        <v>Mar-2024</v>
      </c>
    </row>
    <row r="71" spans="1:14" x14ac:dyDescent="0.3">
      <c r="A71">
        <v>10106</v>
      </c>
      <c r="B71" s="14" t="s">
        <v>275</v>
      </c>
      <c r="C71" t="s">
        <v>327</v>
      </c>
      <c r="D71" t="s">
        <v>328</v>
      </c>
      <c r="E71" t="s">
        <v>125</v>
      </c>
      <c r="F71" t="s">
        <v>56</v>
      </c>
      <c r="G71" t="s">
        <v>57</v>
      </c>
      <c r="H71">
        <v>8</v>
      </c>
      <c r="I71" s="15">
        <v>55</v>
      </c>
      <c r="J71" s="16">
        <v>0.1</v>
      </c>
      <c r="K71" s="15">
        <f t="shared" si="2"/>
        <v>396</v>
      </c>
      <c r="L71" s="15">
        <f>ROUND(K71*VLOOKUP(F71,Reference!$A$4:$B$7,2,FALSE()),2)</f>
        <v>87.12</v>
      </c>
      <c r="M71" t="s">
        <v>46</v>
      </c>
      <c r="N71" t="str">
        <f t="shared" si="3"/>
        <v>Mar-2024</v>
      </c>
    </row>
    <row r="72" spans="1:14" x14ac:dyDescent="0.3">
      <c r="A72">
        <v>10123</v>
      </c>
      <c r="B72" s="14" t="s">
        <v>371</v>
      </c>
      <c r="C72" t="s">
        <v>372</v>
      </c>
      <c r="D72" t="s">
        <v>70</v>
      </c>
      <c r="E72" t="s">
        <v>125</v>
      </c>
      <c r="F72" t="s">
        <v>44</v>
      </c>
      <c r="G72" t="s">
        <v>45</v>
      </c>
      <c r="H72">
        <v>2</v>
      </c>
      <c r="I72" s="15">
        <v>4.25</v>
      </c>
      <c r="J72" s="16">
        <v>0</v>
      </c>
      <c r="K72" s="15">
        <f t="shared" si="2"/>
        <v>8.5</v>
      </c>
      <c r="L72" s="15">
        <f>ROUND(K72*VLOOKUP(F72,Reference!$A$4:$B$7,2,FALSE()),2)</f>
        <v>2.98</v>
      </c>
      <c r="M72" t="s">
        <v>46</v>
      </c>
      <c r="N72" t="str">
        <f t="shared" si="3"/>
        <v>Mar-2024</v>
      </c>
    </row>
    <row r="73" spans="1:14" x14ac:dyDescent="0.3">
      <c r="A73">
        <v>10365</v>
      </c>
      <c r="B73" s="14" t="s">
        <v>375</v>
      </c>
      <c r="C73" t="s">
        <v>376</v>
      </c>
      <c r="D73" t="s">
        <v>165</v>
      </c>
      <c r="E73" t="s">
        <v>43</v>
      </c>
      <c r="F73" t="s">
        <v>75</v>
      </c>
      <c r="G73" t="s">
        <v>76</v>
      </c>
      <c r="H73">
        <v>9</v>
      </c>
      <c r="I73" s="15">
        <v>22</v>
      </c>
      <c r="J73" s="16">
        <v>0.2</v>
      </c>
      <c r="K73" s="15">
        <f t="shared" si="2"/>
        <v>158.4</v>
      </c>
      <c r="L73" s="15">
        <f>ROUND(K73*VLOOKUP(F73,Reference!$A$4:$B$7,2,FALSE()),2)</f>
        <v>44.35</v>
      </c>
      <c r="M73" t="s">
        <v>46</v>
      </c>
      <c r="N73" t="str">
        <f t="shared" si="3"/>
        <v>Mar-2024</v>
      </c>
    </row>
    <row r="74" spans="1:14" x14ac:dyDescent="0.3">
      <c r="A74">
        <v>10191</v>
      </c>
      <c r="B74" s="14" t="s">
        <v>100</v>
      </c>
      <c r="C74" t="s">
        <v>260</v>
      </c>
      <c r="D74" t="s">
        <v>370</v>
      </c>
      <c r="E74" t="s">
        <v>125</v>
      </c>
      <c r="F74" t="s">
        <v>44</v>
      </c>
      <c r="G74" t="s">
        <v>106</v>
      </c>
      <c r="H74">
        <v>1</v>
      </c>
      <c r="I74" s="15">
        <v>6.75</v>
      </c>
      <c r="J74" s="16">
        <v>0</v>
      </c>
      <c r="K74" s="15">
        <f t="shared" si="2"/>
        <v>6.75</v>
      </c>
      <c r="L74" s="15">
        <f>ROUND(K74*VLOOKUP(F74,Reference!$A$4:$B$7,2,FALSE()),2)</f>
        <v>2.36</v>
      </c>
      <c r="M74" t="s">
        <v>46</v>
      </c>
      <c r="N74" t="str">
        <f t="shared" si="3"/>
        <v>Mar-2024</v>
      </c>
    </row>
    <row r="75" spans="1:14" x14ac:dyDescent="0.3">
      <c r="A75">
        <v>10057</v>
      </c>
      <c r="B75" s="14" t="s">
        <v>100</v>
      </c>
      <c r="C75" t="s">
        <v>373</v>
      </c>
      <c r="D75" t="s">
        <v>374</v>
      </c>
      <c r="E75" t="s">
        <v>125</v>
      </c>
      <c r="F75" t="s">
        <v>75</v>
      </c>
      <c r="G75" t="s">
        <v>95</v>
      </c>
      <c r="H75">
        <v>7</v>
      </c>
      <c r="I75" s="15">
        <v>18.75</v>
      </c>
      <c r="J75" s="16">
        <v>0.15</v>
      </c>
      <c r="K75" s="15">
        <f t="shared" si="2"/>
        <v>111.56</v>
      </c>
      <c r="L75" s="15">
        <f>ROUND(K75*VLOOKUP(F75,Reference!$A$4:$B$7,2,FALSE()),2)</f>
        <v>31.24</v>
      </c>
      <c r="M75" t="s">
        <v>63</v>
      </c>
      <c r="N75" t="str">
        <f t="shared" si="3"/>
        <v>Mar-2024</v>
      </c>
    </row>
    <row r="76" spans="1:14" x14ac:dyDescent="0.3">
      <c r="A76">
        <v>10361</v>
      </c>
      <c r="B76" s="14" t="s">
        <v>100</v>
      </c>
      <c r="C76" t="s">
        <v>101</v>
      </c>
      <c r="D76" t="s">
        <v>102</v>
      </c>
      <c r="E76" t="s">
        <v>43</v>
      </c>
      <c r="F76" t="s">
        <v>44</v>
      </c>
      <c r="G76" t="s">
        <v>67</v>
      </c>
      <c r="H76">
        <v>7</v>
      </c>
      <c r="I76" s="15">
        <v>5.5</v>
      </c>
      <c r="J76" s="16">
        <v>0</v>
      </c>
      <c r="K76" s="15">
        <f t="shared" si="2"/>
        <v>38.5</v>
      </c>
      <c r="L76" s="15">
        <f>ROUND(K76*VLOOKUP(F76,Reference!$A$4:$B$7,2,FALSE()),2)</f>
        <v>13.48</v>
      </c>
      <c r="M76" t="s">
        <v>63</v>
      </c>
      <c r="N76" t="str">
        <f t="shared" si="3"/>
        <v>Mar-2024</v>
      </c>
    </row>
    <row r="77" spans="1:14" x14ac:dyDescent="0.3">
      <c r="A77">
        <v>10225</v>
      </c>
      <c r="B77" s="14" t="s">
        <v>100</v>
      </c>
      <c r="C77" t="s">
        <v>393</v>
      </c>
      <c r="D77" t="s">
        <v>504</v>
      </c>
      <c r="E77" t="s">
        <v>61</v>
      </c>
      <c r="F77" t="s">
        <v>44</v>
      </c>
      <c r="G77" t="s">
        <v>156</v>
      </c>
      <c r="H77">
        <v>9</v>
      </c>
      <c r="I77" s="15">
        <v>27</v>
      </c>
      <c r="J77" s="16">
        <v>0.25</v>
      </c>
      <c r="K77" s="15">
        <f t="shared" si="2"/>
        <v>182.25</v>
      </c>
      <c r="L77" s="15">
        <f>ROUND(K77*VLOOKUP(F77,Reference!$A$4:$B$7,2,FALSE()),2)</f>
        <v>63.79</v>
      </c>
      <c r="M77" t="s">
        <v>46</v>
      </c>
      <c r="N77" t="str">
        <f t="shared" si="3"/>
        <v>Mar-2024</v>
      </c>
    </row>
    <row r="78" spans="1:14" x14ac:dyDescent="0.3">
      <c r="A78">
        <v>10180</v>
      </c>
      <c r="B78" s="14" t="s">
        <v>100</v>
      </c>
      <c r="C78" t="s">
        <v>297</v>
      </c>
      <c r="D78" t="s">
        <v>198</v>
      </c>
      <c r="E78" t="s">
        <v>61</v>
      </c>
      <c r="F78" t="s">
        <v>44</v>
      </c>
      <c r="G78" t="s">
        <v>146</v>
      </c>
      <c r="H78">
        <v>8</v>
      </c>
      <c r="I78" s="15">
        <v>3.1</v>
      </c>
      <c r="J78" s="16">
        <v>0</v>
      </c>
      <c r="K78" s="15">
        <f t="shared" si="2"/>
        <v>24.8</v>
      </c>
      <c r="L78" s="15">
        <f>ROUND(K78*VLOOKUP(F78,Reference!$A$4:$B$7,2,FALSE()),2)</f>
        <v>8.68</v>
      </c>
      <c r="M78" t="s">
        <v>52</v>
      </c>
      <c r="N78" t="str">
        <f t="shared" si="3"/>
        <v>Mar-2024</v>
      </c>
    </row>
    <row r="79" spans="1:14" x14ac:dyDescent="0.3">
      <c r="A79">
        <v>10147</v>
      </c>
      <c r="B79" s="14" t="s">
        <v>100</v>
      </c>
      <c r="C79" t="s">
        <v>41</v>
      </c>
      <c r="D79" t="s">
        <v>407</v>
      </c>
      <c r="E79" t="s">
        <v>43</v>
      </c>
      <c r="F79" t="s">
        <v>50</v>
      </c>
      <c r="G79" t="s">
        <v>84</v>
      </c>
      <c r="H79">
        <v>8</v>
      </c>
      <c r="I79" s="15">
        <v>75.5</v>
      </c>
      <c r="J79" s="16">
        <v>0.25</v>
      </c>
      <c r="K79" s="15">
        <f t="shared" si="2"/>
        <v>453</v>
      </c>
      <c r="L79" s="15">
        <f>ROUND(K79*VLOOKUP(F79,Reference!$A$4:$B$7,2,FALSE()),2)</f>
        <v>81.540000000000006</v>
      </c>
      <c r="M79" t="s">
        <v>52</v>
      </c>
      <c r="N79" t="str">
        <f t="shared" si="3"/>
        <v>Mar-2024</v>
      </c>
    </row>
    <row r="80" spans="1:14" x14ac:dyDescent="0.3">
      <c r="A80">
        <v>10333</v>
      </c>
      <c r="B80" s="14" t="s">
        <v>583</v>
      </c>
      <c r="C80" t="s">
        <v>200</v>
      </c>
      <c r="D80" t="s">
        <v>584</v>
      </c>
      <c r="E80" t="s">
        <v>43</v>
      </c>
      <c r="F80" t="s">
        <v>50</v>
      </c>
      <c r="G80" t="s">
        <v>84</v>
      </c>
      <c r="H80">
        <v>8</v>
      </c>
      <c r="I80" s="15">
        <v>75.5</v>
      </c>
      <c r="J80" s="16">
        <v>0.15</v>
      </c>
      <c r="K80" s="15">
        <f t="shared" si="2"/>
        <v>513.4</v>
      </c>
      <c r="L80" s="15">
        <f>ROUND(K80*VLOOKUP(F80,Reference!$A$4:$B$7,2,FALSE()),2)</f>
        <v>92.41</v>
      </c>
      <c r="M80" t="s">
        <v>63</v>
      </c>
      <c r="N80" t="str">
        <f t="shared" si="3"/>
        <v>Mar-2024</v>
      </c>
    </row>
    <row r="81" spans="1:14" x14ac:dyDescent="0.3">
      <c r="A81">
        <v>10216</v>
      </c>
      <c r="B81" s="14" t="s">
        <v>599</v>
      </c>
      <c r="C81" t="s">
        <v>600</v>
      </c>
      <c r="D81" t="s">
        <v>499</v>
      </c>
      <c r="E81" t="s">
        <v>61</v>
      </c>
      <c r="F81" t="s">
        <v>56</v>
      </c>
      <c r="G81" t="s">
        <v>366</v>
      </c>
      <c r="H81">
        <v>4</v>
      </c>
      <c r="I81" s="15">
        <v>38.5</v>
      </c>
      <c r="J81" s="16">
        <v>0.1</v>
      </c>
      <c r="K81" s="15">
        <f t="shared" si="2"/>
        <v>138.6</v>
      </c>
      <c r="L81" s="15">
        <f>ROUND(K81*VLOOKUP(F81,Reference!$A$4:$B$7,2,FALSE()),2)</f>
        <v>30.49</v>
      </c>
      <c r="M81" t="s">
        <v>46</v>
      </c>
      <c r="N81" t="str">
        <f t="shared" si="3"/>
        <v>Mar-2024</v>
      </c>
    </row>
    <row r="82" spans="1:14" x14ac:dyDescent="0.3">
      <c r="A82">
        <v>10224</v>
      </c>
      <c r="B82" s="14" t="s">
        <v>85</v>
      </c>
      <c r="C82" t="s">
        <v>86</v>
      </c>
      <c r="D82" t="s">
        <v>87</v>
      </c>
      <c r="E82" t="s">
        <v>61</v>
      </c>
      <c r="F82" t="s">
        <v>44</v>
      </c>
      <c r="G82" t="s">
        <v>67</v>
      </c>
      <c r="H82">
        <v>5</v>
      </c>
      <c r="I82" s="15">
        <v>5.5</v>
      </c>
      <c r="J82" s="16">
        <v>0.15</v>
      </c>
      <c r="K82" s="15">
        <f t="shared" si="2"/>
        <v>23.38</v>
      </c>
      <c r="L82" s="15">
        <f>ROUND(K82*VLOOKUP(F82,Reference!$A$4:$B$7,2,FALSE()),2)</f>
        <v>8.18</v>
      </c>
      <c r="M82" t="s">
        <v>52</v>
      </c>
      <c r="N82" t="str">
        <f t="shared" si="3"/>
        <v>Mar-2024</v>
      </c>
    </row>
    <row r="83" spans="1:14" x14ac:dyDescent="0.3">
      <c r="A83">
        <v>10189</v>
      </c>
      <c r="B83" s="14" t="s">
        <v>445</v>
      </c>
      <c r="C83" t="s">
        <v>416</v>
      </c>
      <c r="D83" t="s">
        <v>446</v>
      </c>
      <c r="E83" t="s">
        <v>125</v>
      </c>
      <c r="F83" t="s">
        <v>44</v>
      </c>
      <c r="G83" t="s">
        <v>45</v>
      </c>
      <c r="H83">
        <v>6</v>
      </c>
      <c r="I83" s="15">
        <v>4.25</v>
      </c>
      <c r="J83" s="16">
        <v>0.1</v>
      </c>
      <c r="K83" s="15">
        <f t="shared" si="2"/>
        <v>22.95</v>
      </c>
      <c r="L83" s="15">
        <f>ROUND(K83*VLOOKUP(F83,Reference!$A$4:$B$7,2,FALSE()),2)</f>
        <v>8.0299999999999994</v>
      </c>
      <c r="M83" t="s">
        <v>46</v>
      </c>
      <c r="N83" t="str">
        <f t="shared" si="3"/>
        <v>Mar-2024</v>
      </c>
    </row>
    <row r="84" spans="1:14" x14ac:dyDescent="0.3">
      <c r="A84">
        <v>10089</v>
      </c>
      <c r="B84" s="14" t="s">
        <v>339</v>
      </c>
      <c r="C84" t="s">
        <v>340</v>
      </c>
      <c r="D84" t="s">
        <v>341</v>
      </c>
      <c r="E84" t="s">
        <v>61</v>
      </c>
      <c r="F84" t="s">
        <v>56</v>
      </c>
      <c r="G84" t="s">
        <v>57</v>
      </c>
      <c r="H84">
        <v>3</v>
      </c>
      <c r="I84" s="15">
        <v>55</v>
      </c>
      <c r="J84" s="16">
        <v>0.2</v>
      </c>
      <c r="K84" s="15">
        <f t="shared" si="2"/>
        <v>132</v>
      </c>
      <c r="L84" s="15">
        <f>ROUND(K84*VLOOKUP(F84,Reference!$A$4:$B$7,2,FALSE()),2)</f>
        <v>29.04</v>
      </c>
      <c r="M84" t="s">
        <v>52</v>
      </c>
      <c r="N84" t="str">
        <f t="shared" si="3"/>
        <v>Mar-2024</v>
      </c>
    </row>
    <row r="85" spans="1:14" x14ac:dyDescent="0.3">
      <c r="A85">
        <v>10336</v>
      </c>
      <c r="B85" s="14" t="s">
        <v>339</v>
      </c>
      <c r="C85" t="s">
        <v>270</v>
      </c>
      <c r="D85" t="s">
        <v>357</v>
      </c>
      <c r="E85" t="s">
        <v>43</v>
      </c>
      <c r="F85" t="s">
        <v>56</v>
      </c>
      <c r="G85" t="s">
        <v>366</v>
      </c>
      <c r="H85">
        <v>9</v>
      </c>
      <c r="I85" s="15">
        <v>38.5</v>
      </c>
      <c r="J85" s="16">
        <v>0.05</v>
      </c>
      <c r="K85" s="15">
        <f t="shared" si="2"/>
        <v>329.18</v>
      </c>
      <c r="L85" s="15">
        <f>ROUND(K85*VLOOKUP(F85,Reference!$A$4:$B$7,2,FALSE()),2)</f>
        <v>72.42</v>
      </c>
      <c r="M85" t="s">
        <v>63</v>
      </c>
      <c r="N85" t="str">
        <f t="shared" si="3"/>
        <v>Mar-2024</v>
      </c>
    </row>
    <row r="86" spans="1:14" x14ac:dyDescent="0.3">
      <c r="A86">
        <v>10040</v>
      </c>
      <c r="B86" s="14" t="s">
        <v>475</v>
      </c>
      <c r="C86" t="s">
        <v>59</v>
      </c>
      <c r="D86" t="s">
        <v>183</v>
      </c>
      <c r="E86" t="s">
        <v>61</v>
      </c>
      <c r="F86" t="s">
        <v>75</v>
      </c>
      <c r="G86" t="s">
        <v>202</v>
      </c>
      <c r="H86">
        <v>6</v>
      </c>
      <c r="I86" s="15">
        <v>34.5</v>
      </c>
      <c r="J86" s="16">
        <v>0.2</v>
      </c>
      <c r="K86" s="15">
        <f t="shared" si="2"/>
        <v>165.6</v>
      </c>
      <c r="L86" s="15">
        <f>ROUND(K86*VLOOKUP(F86,Reference!$A$4:$B$7,2,FALSE()),2)</f>
        <v>46.37</v>
      </c>
      <c r="M86" t="s">
        <v>63</v>
      </c>
      <c r="N86" t="str">
        <f t="shared" si="3"/>
        <v>Mar-2024</v>
      </c>
    </row>
    <row r="87" spans="1:14" x14ac:dyDescent="0.3">
      <c r="A87">
        <v>10105</v>
      </c>
      <c r="B87" s="14" t="s">
        <v>435</v>
      </c>
      <c r="C87" t="s">
        <v>436</v>
      </c>
      <c r="D87" t="s">
        <v>437</v>
      </c>
      <c r="E87" t="s">
        <v>125</v>
      </c>
      <c r="F87" t="s">
        <v>50</v>
      </c>
      <c r="G87" t="s">
        <v>80</v>
      </c>
      <c r="H87">
        <v>10</v>
      </c>
      <c r="I87" s="15">
        <v>89</v>
      </c>
      <c r="J87" s="16">
        <v>0.2</v>
      </c>
      <c r="K87" s="15">
        <f t="shared" si="2"/>
        <v>712</v>
      </c>
      <c r="L87" s="15">
        <f>ROUND(K87*VLOOKUP(F87,Reference!$A$4:$B$7,2,FALSE()),2)</f>
        <v>128.16</v>
      </c>
      <c r="M87" t="s">
        <v>46</v>
      </c>
      <c r="N87" t="str">
        <f t="shared" si="3"/>
        <v>Apr-2024</v>
      </c>
    </row>
    <row r="88" spans="1:14" x14ac:dyDescent="0.3">
      <c r="A88">
        <v>10218</v>
      </c>
      <c r="B88" s="14" t="s">
        <v>438</v>
      </c>
      <c r="C88" t="s">
        <v>441</v>
      </c>
      <c r="D88" t="s">
        <v>448</v>
      </c>
      <c r="E88" t="s">
        <v>74</v>
      </c>
      <c r="F88" t="s">
        <v>75</v>
      </c>
      <c r="G88" t="s">
        <v>126</v>
      </c>
      <c r="H88">
        <v>5</v>
      </c>
      <c r="I88" s="15">
        <v>12.99</v>
      </c>
      <c r="J88" s="16">
        <v>0</v>
      </c>
      <c r="K88" s="15">
        <f t="shared" si="2"/>
        <v>64.95</v>
      </c>
      <c r="L88" s="15">
        <f>ROUND(K88*VLOOKUP(F88,Reference!$A$4:$B$7,2,FALSE()),2)</f>
        <v>18.190000000000001</v>
      </c>
      <c r="M88" t="s">
        <v>52</v>
      </c>
      <c r="N88" t="str">
        <f t="shared" si="3"/>
        <v>Apr-2024</v>
      </c>
    </row>
    <row r="89" spans="1:14" x14ac:dyDescent="0.3">
      <c r="A89">
        <v>10175</v>
      </c>
      <c r="B89" s="14" t="s">
        <v>438</v>
      </c>
      <c r="C89" t="s">
        <v>387</v>
      </c>
      <c r="D89" t="s">
        <v>439</v>
      </c>
      <c r="E89" t="s">
        <v>61</v>
      </c>
      <c r="F89" t="s">
        <v>56</v>
      </c>
      <c r="G89" t="s">
        <v>57</v>
      </c>
      <c r="H89">
        <v>9</v>
      </c>
      <c r="I89" s="15">
        <v>55</v>
      </c>
      <c r="J89" s="16">
        <v>0.1</v>
      </c>
      <c r="K89" s="15">
        <f t="shared" si="2"/>
        <v>445.5</v>
      </c>
      <c r="L89" s="15">
        <f>ROUND(K89*VLOOKUP(F89,Reference!$A$4:$B$7,2,FALSE()),2)</f>
        <v>98.01</v>
      </c>
      <c r="M89" t="s">
        <v>52</v>
      </c>
      <c r="N89" t="str">
        <f t="shared" si="3"/>
        <v>Apr-2024</v>
      </c>
    </row>
    <row r="90" spans="1:14" x14ac:dyDescent="0.3">
      <c r="A90">
        <v>10243</v>
      </c>
      <c r="B90" s="14" t="s">
        <v>309</v>
      </c>
      <c r="C90" t="s">
        <v>310</v>
      </c>
      <c r="D90" t="s">
        <v>311</v>
      </c>
      <c r="E90" t="s">
        <v>91</v>
      </c>
      <c r="F90" t="s">
        <v>50</v>
      </c>
      <c r="G90" t="s">
        <v>84</v>
      </c>
      <c r="H90">
        <v>4</v>
      </c>
      <c r="I90" s="15">
        <v>75.5</v>
      </c>
      <c r="J90" s="16">
        <v>0.15</v>
      </c>
      <c r="K90" s="15">
        <f t="shared" si="2"/>
        <v>256.7</v>
      </c>
      <c r="L90" s="15">
        <f>ROUND(K90*VLOOKUP(F90,Reference!$A$4:$B$7,2,FALSE()),2)</f>
        <v>46.21</v>
      </c>
      <c r="M90" t="s">
        <v>63</v>
      </c>
      <c r="N90" t="str">
        <f t="shared" si="3"/>
        <v>Apr-2024</v>
      </c>
    </row>
    <row r="91" spans="1:14" x14ac:dyDescent="0.3">
      <c r="A91">
        <v>10024</v>
      </c>
      <c r="B91" s="14" t="s">
        <v>540</v>
      </c>
      <c r="C91" t="s">
        <v>337</v>
      </c>
      <c r="D91" t="s">
        <v>501</v>
      </c>
      <c r="E91" t="s">
        <v>125</v>
      </c>
      <c r="F91" t="s">
        <v>56</v>
      </c>
      <c r="G91" t="s">
        <v>149</v>
      </c>
      <c r="H91">
        <v>7</v>
      </c>
      <c r="I91" s="15">
        <v>42</v>
      </c>
      <c r="J91" s="16">
        <v>0</v>
      </c>
      <c r="K91" s="15">
        <f t="shared" si="2"/>
        <v>294</v>
      </c>
      <c r="L91" s="15">
        <f>ROUND(K91*VLOOKUP(F91,Reference!$A$4:$B$7,2,FALSE()),2)</f>
        <v>64.680000000000007</v>
      </c>
      <c r="M91" t="s">
        <v>52</v>
      </c>
      <c r="N91" t="str">
        <f t="shared" si="3"/>
        <v>Apr-2024</v>
      </c>
    </row>
    <row r="92" spans="1:14" x14ac:dyDescent="0.3">
      <c r="A92">
        <v>10146</v>
      </c>
      <c r="B92" s="14" t="s">
        <v>304</v>
      </c>
      <c r="C92" t="s">
        <v>305</v>
      </c>
      <c r="D92" t="s">
        <v>306</v>
      </c>
      <c r="E92" t="s">
        <v>74</v>
      </c>
      <c r="F92" t="s">
        <v>44</v>
      </c>
      <c r="G92" t="s">
        <v>45</v>
      </c>
      <c r="H92">
        <v>4</v>
      </c>
      <c r="I92" s="15">
        <v>4.25</v>
      </c>
      <c r="J92" s="16">
        <v>0</v>
      </c>
      <c r="K92" s="15">
        <f t="shared" si="2"/>
        <v>17</v>
      </c>
      <c r="L92" s="15">
        <f>ROUND(K92*VLOOKUP(F92,Reference!$A$4:$B$7,2,FALSE()),2)</f>
        <v>5.95</v>
      </c>
      <c r="M92" t="s">
        <v>46</v>
      </c>
      <c r="N92" t="str">
        <f t="shared" si="3"/>
        <v>Apr-2024</v>
      </c>
    </row>
    <row r="93" spans="1:14" x14ac:dyDescent="0.3">
      <c r="A93">
        <v>10003</v>
      </c>
      <c r="B93" s="14" t="s">
        <v>568</v>
      </c>
      <c r="C93" t="s">
        <v>488</v>
      </c>
      <c r="D93" t="s">
        <v>569</v>
      </c>
      <c r="E93" t="s">
        <v>91</v>
      </c>
      <c r="F93" t="s">
        <v>56</v>
      </c>
      <c r="G93" t="s">
        <v>149</v>
      </c>
      <c r="H93">
        <v>8</v>
      </c>
      <c r="I93" s="15">
        <v>42</v>
      </c>
      <c r="J93" s="16">
        <v>0.1</v>
      </c>
      <c r="K93" s="15">
        <f t="shared" si="2"/>
        <v>302.39999999999998</v>
      </c>
      <c r="L93" s="15">
        <f>ROUND(K93*VLOOKUP(F93,Reference!$A$4:$B$7,2,FALSE()),2)</f>
        <v>66.53</v>
      </c>
      <c r="M93" t="s">
        <v>46</v>
      </c>
      <c r="N93" t="str">
        <f t="shared" si="3"/>
        <v>Apr-2024</v>
      </c>
    </row>
    <row r="94" spans="1:14" x14ac:dyDescent="0.3">
      <c r="A94">
        <v>10185</v>
      </c>
      <c r="B94" s="14" t="s">
        <v>134</v>
      </c>
      <c r="C94" t="s">
        <v>135</v>
      </c>
      <c r="D94" t="s">
        <v>136</v>
      </c>
      <c r="E94" t="s">
        <v>125</v>
      </c>
      <c r="F94" t="s">
        <v>50</v>
      </c>
      <c r="G94" t="s">
        <v>84</v>
      </c>
      <c r="H94">
        <v>1</v>
      </c>
      <c r="I94" s="15">
        <v>75.5</v>
      </c>
      <c r="J94" s="16">
        <v>0.15</v>
      </c>
      <c r="K94" s="15">
        <f t="shared" si="2"/>
        <v>64.180000000000007</v>
      </c>
      <c r="L94" s="15">
        <f>ROUND(K94*VLOOKUP(F94,Reference!$A$4:$B$7,2,FALSE()),2)</f>
        <v>11.55</v>
      </c>
      <c r="M94" t="s">
        <v>46</v>
      </c>
      <c r="N94" t="str">
        <f t="shared" si="3"/>
        <v>Apr-2024</v>
      </c>
    </row>
    <row r="95" spans="1:14" x14ac:dyDescent="0.3">
      <c r="A95">
        <v>10349</v>
      </c>
      <c r="B95" s="14" t="s">
        <v>624</v>
      </c>
      <c r="C95" t="s">
        <v>529</v>
      </c>
      <c r="D95" t="s">
        <v>512</v>
      </c>
      <c r="E95" t="s">
        <v>125</v>
      </c>
      <c r="F95" t="s">
        <v>44</v>
      </c>
      <c r="G95" t="s">
        <v>45</v>
      </c>
      <c r="H95">
        <v>6</v>
      </c>
      <c r="I95" s="15">
        <v>4.25</v>
      </c>
      <c r="J95" s="16">
        <v>0</v>
      </c>
      <c r="K95" s="15">
        <f t="shared" si="2"/>
        <v>25.5</v>
      </c>
      <c r="L95" s="15">
        <f>ROUND(K95*VLOOKUP(F95,Reference!$A$4:$B$7,2,FALSE()),2)</f>
        <v>8.93</v>
      </c>
      <c r="M95" t="s">
        <v>63</v>
      </c>
      <c r="N95" t="str">
        <f t="shared" si="3"/>
        <v>Apr-2024</v>
      </c>
    </row>
    <row r="96" spans="1:14" x14ac:dyDescent="0.3">
      <c r="A96">
        <v>10209</v>
      </c>
      <c r="B96" s="14" t="s">
        <v>160</v>
      </c>
      <c r="C96" t="s">
        <v>161</v>
      </c>
      <c r="D96" t="s">
        <v>162</v>
      </c>
      <c r="E96" t="s">
        <v>91</v>
      </c>
      <c r="F96" t="s">
        <v>44</v>
      </c>
      <c r="G96" t="s">
        <v>156</v>
      </c>
      <c r="H96">
        <v>9</v>
      </c>
      <c r="I96" s="15">
        <v>27</v>
      </c>
      <c r="J96" s="16">
        <v>0.2</v>
      </c>
      <c r="K96" s="15">
        <f t="shared" si="2"/>
        <v>194.4</v>
      </c>
      <c r="L96" s="15">
        <f>ROUND(K96*VLOOKUP(F96,Reference!$A$4:$B$7,2,FALSE()),2)</f>
        <v>68.040000000000006</v>
      </c>
      <c r="M96" t="s">
        <v>46</v>
      </c>
      <c r="N96" t="str">
        <f t="shared" si="3"/>
        <v>Apr-2024</v>
      </c>
    </row>
    <row r="97" spans="1:14" x14ac:dyDescent="0.3">
      <c r="A97">
        <v>10192</v>
      </c>
      <c r="B97" s="14" t="s">
        <v>555</v>
      </c>
      <c r="C97" t="s">
        <v>267</v>
      </c>
      <c r="D97" t="s">
        <v>201</v>
      </c>
      <c r="E97" t="s">
        <v>91</v>
      </c>
      <c r="F97" t="s">
        <v>56</v>
      </c>
      <c r="G97" t="s">
        <v>217</v>
      </c>
      <c r="H97">
        <v>1</v>
      </c>
      <c r="I97" s="15">
        <v>8</v>
      </c>
      <c r="J97" s="16">
        <v>0.25</v>
      </c>
      <c r="K97" s="15">
        <f t="shared" si="2"/>
        <v>6</v>
      </c>
      <c r="L97" s="15">
        <f>ROUND(K97*VLOOKUP(F97,Reference!$A$4:$B$7,2,FALSE()),2)</f>
        <v>1.32</v>
      </c>
      <c r="M97" t="s">
        <v>46</v>
      </c>
      <c r="N97" t="str">
        <f t="shared" si="3"/>
        <v>Apr-2024</v>
      </c>
    </row>
    <row r="98" spans="1:14" x14ac:dyDescent="0.3">
      <c r="A98">
        <v>10083</v>
      </c>
      <c r="B98" s="14" t="s">
        <v>209</v>
      </c>
      <c r="C98" t="s">
        <v>210</v>
      </c>
      <c r="D98" t="s">
        <v>211</v>
      </c>
      <c r="E98" t="s">
        <v>74</v>
      </c>
      <c r="F98" t="s">
        <v>75</v>
      </c>
      <c r="G98" t="s">
        <v>202</v>
      </c>
      <c r="H98">
        <v>4</v>
      </c>
      <c r="I98" s="15">
        <v>34.5</v>
      </c>
      <c r="J98" s="16">
        <v>0</v>
      </c>
      <c r="K98" s="15">
        <f t="shared" si="2"/>
        <v>138</v>
      </c>
      <c r="L98" s="15">
        <f>ROUND(K98*VLOOKUP(F98,Reference!$A$4:$B$7,2,FALSE()),2)</f>
        <v>38.64</v>
      </c>
      <c r="M98" t="s">
        <v>52</v>
      </c>
      <c r="N98" t="str">
        <f t="shared" si="3"/>
        <v>Apr-2024</v>
      </c>
    </row>
    <row r="99" spans="1:14" x14ac:dyDescent="0.3">
      <c r="A99">
        <v>10121</v>
      </c>
      <c r="B99" s="14" t="s">
        <v>209</v>
      </c>
      <c r="C99" t="s">
        <v>221</v>
      </c>
      <c r="D99" t="s">
        <v>165</v>
      </c>
      <c r="E99" t="s">
        <v>91</v>
      </c>
      <c r="F99" t="s">
        <v>75</v>
      </c>
      <c r="G99" t="s">
        <v>126</v>
      </c>
      <c r="H99">
        <v>6</v>
      </c>
      <c r="I99" s="15">
        <v>12.99</v>
      </c>
      <c r="J99" s="16">
        <v>0.05</v>
      </c>
      <c r="K99" s="15">
        <f t="shared" si="2"/>
        <v>74.040000000000006</v>
      </c>
      <c r="L99" s="15">
        <f>ROUND(K99*VLOOKUP(F99,Reference!$A$4:$B$7,2,FALSE()),2)</f>
        <v>20.73</v>
      </c>
      <c r="M99" t="s">
        <v>63</v>
      </c>
      <c r="N99" t="str">
        <f t="shared" si="3"/>
        <v>Apr-2024</v>
      </c>
    </row>
    <row r="100" spans="1:14" x14ac:dyDescent="0.3">
      <c r="A100">
        <v>10309</v>
      </c>
      <c r="B100" s="14" t="s">
        <v>392</v>
      </c>
      <c r="C100" t="s">
        <v>265</v>
      </c>
      <c r="D100" t="s">
        <v>357</v>
      </c>
      <c r="E100" t="s">
        <v>125</v>
      </c>
      <c r="F100" t="s">
        <v>56</v>
      </c>
      <c r="G100" t="s">
        <v>217</v>
      </c>
      <c r="H100">
        <v>8</v>
      </c>
      <c r="I100" s="15">
        <v>8</v>
      </c>
      <c r="J100" s="16">
        <v>0.05</v>
      </c>
      <c r="K100" s="15">
        <f t="shared" si="2"/>
        <v>60.8</v>
      </c>
      <c r="L100" s="15">
        <f>ROUND(K100*VLOOKUP(F100,Reference!$A$4:$B$7,2,FALSE()),2)</f>
        <v>13.38</v>
      </c>
      <c r="M100" t="s">
        <v>63</v>
      </c>
      <c r="N100" t="str">
        <f t="shared" si="3"/>
        <v>Apr-2024</v>
      </c>
    </row>
    <row r="101" spans="1:14" x14ac:dyDescent="0.3">
      <c r="A101">
        <v>10335</v>
      </c>
      <c r="B101" s="14" t="s">
        <v>130</v>
      </c>
      <c r="C101" t="s">
        <v>135</v>
      </c>
      <c r="D101" t="s">
        <v>292</v>
      </c>
      <c r="E101" t="s">
        <v>74</v>
      </c>
      <c r="F101" t="s">
        <v>50</v>
      </c>
      <c r="G101" t="s">
        <v>80</v>
      </c>
      <c r="H101">
        <v>4</v>
      </c>
      <c r="I101" s="15">
        <v>89</v>
      </c>
      <c r="J101" s="16">
        <v>0.15</v>
      </c>
      <c r="K101" s="15">
        <f t="shared" si="2"/>
        <v>302.60000000000002</v>
      </c>
      <c r="L101" s="15">
        <f>ROUND(K101*VLOOKUP(F101,Reference!$A$4:$B$7,2,FALSE()),2)</f>
        <v>54.47</v>
      </c>
      <c r="M101" t="s">
        <v>52</v>
      </c>
      <c r="N101" t="str">
        <f t="shared" si="3"/>
        <v>Apr-2024</v>
      </c>
    </row>
    <row r="102" spans="1:14" x14ac:dyDescent="0.3">
      <c r="A102">
        <v>10166</v>
      </c>
      <c r="B102" s="14" t="s">
        <v>130</v>
      </c>
      <c r="C102" t="s">
        <v>131</v>
      </c>
      <c r="D102" t="s">
        <v>132</v>
      </c>
      <c r="E102" t="s">
        <v>125</v>
      </c>
      <c r="F102" t="s">
        <v>56</v>
      </c>
      <c r="G102" t="s">
        <v>133</v>
      </c>
      <c r="H102">
        <v>5</v>
      </c>
      <c r="I102" s="15">
        <v>9.99</v>
      </c>
      <c r="J102" s="16">
        <v>0.05</v>
      </c>
      <c r="K102" s="15">
        <f t="shared" si="2"/>
        <v>47.45</v>
      </c>
      <c r="L102" s="15">
        <f>ROUND(K102*VLOOKUP(F102,Reference!$A$4:$B$7,2,FALSE()),2)</f>
        <v>10.44</v>
      </c>
      <c r="M102" t="s">
        <v>52</v>
      </c>
      <c r="N102" t="str">
        <f t="shared" si="3"/>
        <v>Apr-2024</v>
      </c>
    </row>
    <row r="103" spans="1:14" x14ac:dyDescent="0.3">
      <c r="A103">
        <v>10291</v>
      </c>
      <c r="B103" s="14" t="s">
        <v>545</v>
      </c>
      <c r="C103" t="s">
        <v>558</v>
      </c>
      <c r="D103" t="s">
        <v>384</v>
      </c>
      <c r="E103" t="s">
        <v>74</v>
      </c>
      <c r="F103" t="s">
        <v>75</v>
      </c>
      <c r="G103" t="s">
        <v>76</v>
      </c>
      <c r="H103">
        <v>4</v>
      </c>
      <c r="I103" s="15">
        <v>22</v>
      </c>
      <c r="J103" s="16">
        <v>0.1</v>
      </c>
      <c r="K103" s="15">
        <f t="shared" si="2"/>
        <v>79.2</v>
      </c>
      <c r="L103" s="15">
        <f>ROUND(K103*VLOOKUP(F103,Reference!$A$4:$B$7,2,FALSE()),2)</f>
        <v>22.18</v>
      </c>
      <c r="M103" t="s">
        <v>46</v>
      </c>
      <c r="N103" t="str">
        <f t="shared" si="3"/>
        <v>Apr-2024</v>
      </c>
    </row>
    <row r="104" spans="1:14" x14ac:dyDescent="0.3">
      <c r="A104">
        <v>10233</v>
      </c>
      <c r="B104" s="14" t="s">
        <v>527</v>
      </c>
      <c r="C104" t="s">
        <v>210</v>
      </c>
      <c r="D104" t="s">
        <v>279</v>
      </c>
      <c r="E104" t="s">
        <v>43</v>
      </c>
      <c r="F104" t="s">
        <v>75</v>
      </c>
      <c r="G104" t="s">
        <v>76</v>
      </c>
      <c r="H104">
        <v>8</v>
      </c>
      <c r="I104" s="15">
        <v>22</v>
      </c>
      <c r="J104" s="16">
        <v>0.2</v>
      </c>
      <c r="K104" s="15">
        <f t="shared" si="2"/>
        <v>140.80000000000001</v>
      </c>
      <c r="L104" s="15">
        <f>ROUND(K104*VLOOKUP(F104,Reference!$A$4:$B$7,2,FALSE()),2)</f>
        <v>39.42</v>
      </c>
      <c r="M104" t="s">
        <v>52</v>
      </c>
      <c r="N104" t="str">
        <f t="shared" si="3"/>
        <v>Apr-2024</v>
      </c>
    </row>
    <row r="105" spans="1:14" x14ac:dyDescent="0.3">
      <c r="A105">
        <v>10114</v>
      </c>
      <c r="B105" s="14" t="s">
        <v>616</v>
      </c>
      <c r="C105" t="s">
        <v>414</v>
      </c>
      <c r="D105" t="s">
        <v>561</v>
      </c>
      <c r="E105" t="s">
        <v>61</v>
      </c>
      <c r="F105" t="s">
        <v>44</v>
      </c>
      <c r="G105" t="s">
        <v>67</v>
      </c>
      <c r="H105">
        <v>7</v>
      </c>
      <c r="I105" s="15">
        <v>5.5</v>
      </c>
      <c r="J105" s="16">
        <v>0</v>
      </c>
      <c r="K105" s="15">
        <f t="shared" si="2"/>
        <v>38.5</v>
      </c>
      <c r="L105" s="15">
        <f>ROUND(K105*VLOOKUP(F105,Reference!$A$4:$B$7,2,FALSE()),2)</f>
        <v>13.48</v>
      </c>
      <c r="M105" t="s">
        <v>52</v>
      </c>
      <c r="N105" t="str">
        <f t="shared" si="3"/>
        <v>Apr-2024</v>
      </c>
    </row>
    <row r="106" spans="1:14" x14ac:dyDescent="0.3">
      <c r="A106">
        <v>10042</v>
      </c>
      <c r="B106" s="14" t="s">
        <v>575</v>
      </c>
      <c r="C106" t="s">
        <v>267</v>
      </c>
      <c r="D106" t="s">
        <v>463</v>
      </c>
      <c r="E106" t="s">
        <v>125</v>
      </c>
      <c r="F106" t="s">
        <v>75</v>
      </c>
      <c r="G106" t="s">
        <v>202</v>
      </c>
      <c r="H106">
        <v>7</v>
      </c>
      <c r="I106" s="15">
        <v>34.5</v>
      </c>
      <c r="J106" s="16">
        <v>0.15</v>
      </c>
      <c r="K106" s="15">
        <f t="shared" si="2"/>
        <v>205.28</v>
      </c>
      <c r="L106" s="15">
        <f>ROUND(K106*VLOOKUP(F106,Reference!$A$4:$B$7,2,FALSE()),2)</f>
        <v>57.48</v>
      </c>
      <c r="M106" t="s">
        <v>52</v>
      </c>
      <c r="N106" t="str">
        <f t="shared" si="3"/>
        <v>Apr-2024</v>
      </c>
    </row>
    <row r="107" spans="1:14" x14ac:dyDescent="0.3">
      <c r="A107">
        <v>10076</v>
      </c>
      <c r="B107" s="14" t="s">
        <v>434</v>
      </c>
      <c r="C107" t="s">
        <v>226</v>
      </c>
      <c r="D107" t="s">
        <v>322</v>
      </c>
      <c r="E107" t="s">
        <v>43</v>
      </c>
      <c r="F107" t="s">
        <v>50</v>
      </c>
      <c r="G107" t="s">
        <v>62</v>
      </c>
      <c r="H107">
        <v>2</v>
      </c>
      <c r="I107" s="15">
        <v>65</v>
      </c>
      <c r="J107" s="16">
        <v>0</v>
      </c>
      <c r="K107" s="15">
        <f t="shared" si="2"/>
        <v>130</v>
      </c>
      <c r="L107" s="15">
        <f>ROUND(K107*VLOOKUP(F107,Reference!$A$4:$B$7,2,FALSE()),2)</f>
        <v>23.4</v>
      </c>
      <c r="M107" t="s">
        <v>46</v>
      </c>
      <c r="N107" t="str">
        <f t="shared" si="3"/>
        <v>Apr-2024</v>
      </c>
    </row>
    <row r="108" spans="1:14" x14ac:dyDescent="0.3">
      <c r="A108">
        <v>10099</v>
      </c>
      <c r="B108" s="14" t="s">
        <v>68</v>
      </c>
      <c r="C108" t="s">
        <v>285</v>
      </c>
      <c r="D108" t="s">
        <v>286</v>
      </c>
      <c r="E108" t="s">
        <v>61</v>
      </c>
      <c r="F108" t="s">
        <v>75</v>
      </c>
      <c r="G108" t="s">
        <v>76</v>
      </c>
      <c r="H108">
        <v>8</v>
      </c>
      <c r="I108" s="15">
        <v>22</v>
      </c>
      <c r="J108" s="16">
        <v>0.2</v>
      </c>
      <c r="K108" s="15">
        <f t="shared" si="2"/>
        <v>140.80000000000001</v>
      </c>
      <c r="L108" s="15">
        <f>ROUND(K108*VLOOKUP(F108,Reference!$A$4:$B$7,2,FALSE()),2)</f>
        <v>39.42</v>
      </c>
      <c r="M108" t="s">
        <v>63</v>
      </c>
      <c r="N108" t="str">
        <f t="shared" si="3"/>
        <v>Apr-2024</v>
      </c>
    </row>
    <row r="109" spans="1:14" x14ac:dyDescent="0.3">
      <c r="A109">
        <v>10007</v>
      </c>
      <c r="B109" s="14" t="s">
        <v>68</v>
      </c>
      <c r="C109" t="s">
        <v>69</v>
      </c>
      <c r="D109" t="s">
        <v>70</v>
      </c>
      <c r="E109" t="s">
        <v>43</v>
      </c>
      <c r="F109" t="s">
        <v>56</v>
      </c>
      <c r="G109" t="s">
        <v>57</v>
      </c>
      <c r="H109">
        <v>8</v>
      </c>
      <c r="I109" s="15">
        <v>55</v>
      </c>
      <c r="J109" s="16">
        <v>0.15</v>
      </c>
      <c r="K109" s="15">
        <f t="shared" si="2"/>
        <v>374</v>
      </c>
      <c r="L109" s="15">
        <f>ROUND(K109*VLOOKUP(F109,Reference!$A$4:$B$7,2,FALSE()),2)</f>
        <v>82.28</v>
      </c>
      <c r="M109" t="s">
        <v>46</v>
      </c>
      <c r="N109" t="str">
        <f t="shared" si="3"/>
        <v>Apr-2024</v>
      </c>
    </row>
    <row r="110" spans="1:14" x14ac:dyDescent="0.3">
      <c r="A110">
        <v>10215</v>
      </c>
      <c r="B110" s="14" t="s">
        <v>68</v>
      </c>
      <c r="C110" t="s">
        <v>376</v>
      </c>
      <c r="D110" t="s">
        <v>589</v>
      </c>
      <c r="E110" t="s">
        <v>43</v>
      </c>
      <c r="F110" t="s">
        <v>75</v>
      </c>
      <c r="G110" t="s">
        <v>95</v>
      </c>
      <c r="H110">
        <v>6</v>
      </c>
      <c r="I110" s="15">
        <v>18.75</v>
      </c>
      <c r="J110" s="16">
        <v>0.25</v>
      </c>
      <c r="K110" s="15">
        <f t="shared" si="2"/>
        <v>84.38</v>
      </c>
      <c r="L110" s="15">
        <f>ROUND(K110*VLOOKUP(F110,Reference!$A$4:$B$7,2,FALSE()),2)</f>
        <v>23.63</v>
      </c>
      <c r="M110" t="s">
        <v>46</v>
      </c>
      <c r="N110" t="str">
        <f t="shared" si="3"/>
        <v>Apr-2024</v>
      </c>
    </row>
    <row r="111" spans="1:14" x14ac:dyDescent="0.3">
      <c r="A111">
        <v>10160</v>
      </c>
      <c r="B111" s="14" t="s">
        <v>548</v>
      </c>
      <c r="C111" t="s">
        <v>472</v>
      </c>
      <c r="D111" t="s">
        <v>490</v>
      </c>
      <c r="E111" t="s">
        <v>74</v>
      </c>
      <c r="F111" t="s">
        <v>56</v>
      </c>
      <c r="G111" t="s">
        <v>149</v>
      </c>
      <c r="H111">
        <v>6</v>
      </c>
      <c r="I111" s="15">
        <v>42</v>
      </c>
      <c r="J111" s="16">
        <v>0.25</v>
      </c>
      <c r="K111" s="15">
        <f t="shared" si="2"/>
        <v>189</v>
      </c>
      <c r="L111" s="15">
        <f>ROUND(K111*VLOOKUP(F111,Reference!$A$4:$B$7,2,FALSE()),2)</f>
        <v>41.58</v>
      </c>
      <c r="M111" t="s">
        <v>46</v>
      </c>
      <c r="N111" t="str">
        <f t="shared" si="3"/>
        <v>May-2024</v>
      </c>
    </row>
    <row r="112" spans="1:14" x14ac:dyDescent="0.3">
      <c r="A112">
        <v>10073</v>
      </c>
      <c r="B112" s="14" t="s">
        <v>323</v>
      </c>
      <c r="C112" t="s">
        <v>452</v>
      </c>
      <c r="D112" t="s">
        <v>112</v>
      </c>
      <c r="E112" t="s">
        <v>61</v>
      </c>
      <c r="F112" t="s">
        <v>56</v>
      </c>
      <c r="G112" t="s">
        <v>217</v>
      </c>
      <c r="H112">
        <v>4</v>
      </c>
      <c r="I112" s="15">
        <v>8</v>
      </c>
      <c r="J112" s="16">
        <v>0.25</v>
      </c>
      <c r="K112" s="15">
        <f t="shared" si="2"/>
        <v>24</v>
      </c>
      <c r="L112" s="15">
        <f>ROUND(K112*VLOOKUP(F112,Reference!$A$4:$B$7,2,FALSE()),2)</f>
        <v>5.28</v>
      </c>
      <c r="M112" t="s">
        <v>63</v>
      </c>
      <c r="N112" t="str">
        <f t="shared" si="3"/>
        <v>May-2024</v>
      </c>
    </row>
    <row r="113" spans="1:14" x14ac:dyDescent="0.3">
      <c r="A113">
        <v>10168</v>
      </c>
      <c r="B113" s="14" t="s">
        <v>323</v>
      </c>
      <c r="C113" t="s">
        <v>179</v>
      </c>
      <c r="D113" t="s">
        <v>379</v>
      </c>
      <c r="E113" t="s">
        <v>125</v>
      </c>
      <c r="F113" t="s">
        <v>44</v>
      </c>
      <c r="G113" t="s">
        <v>156</v>
      </c>
      <c r="H113">
        <v>1</v>
      </c>
      <c r="I113" s="15">
        <v>27</v>
      </c>
      <c r="J113" s="16">
        <v>0.15</v>
      </c>
      <c r="K113" s="15">
        <f t="shared" si="2"/>
        <v>22.95</v>
      </c>
      <c r="L113" s="15">
        <f>ROUND(K113*VLOOKUP(F113,Reference!$A$4:$B$7,2,FALSE()),2)</f>
        <v>8.0299999999999994</v>
      </c>
      <c r="M113" t="s">
        <v>46</v>
      </c>
      <c r="N113" t="str">
        <f t="shared" si="3"/>
        <v>May-2024</v>
      </c>
    </row>
    <row r="114" spans="1:14" x14ac:dyDescent="0.3">
      <c r="A114">
        <v>10235</v>
      </c>
      <c r="B114" s="14" t="s">
        <v>323</v>
      </c>
      <c r="C114" t="s">
        <v>426</v>
      </c>
      <c r="D114" t="s">
        <v>132</v>
      </c>
      <c r="E114" t="s">
        <v>125</v>
      </c>
      <c r="F114" t="s">
        <v>75</v>
      </c>
      <c r="G114" t="s">
        <v>126</v>
      </c>
      <c r="H114">
        <v>10</v>
      </c>
      <c r="I114" s="15">
        <v>12.99</v>
      </c>
      <c r="J114" s="16">
        <v>0</v>
      </c>
      <c r="K114" s="15">
        <f t="shared" si="2"/>
        <v>129.9</v>
      </c>
      <c r="L114" s="15">
        <f>ROUND(K114*VLOOKUP(F114,Reference!$A$4:$B$7,2,FALSE()),2)</f>
        <v>36.369999999999997</v>
      </c>
      <c r="M114" t="s">
        <v>46</v>
      </c>
      <c r="N114" t="str">
        <f t="shared" si="3"/>
        <v>May-2024</v>
      </c>
    </row>
    <row r="115" spans="1:14" x14ac:dyDescent="0.3">
      <c r="A115">
        <v>10017</v>
      </c>
      <c r="B115" s="14" t="s">
        <v>323</v>
      </c>
      <c r="C115" t="s">
        <v>245</v>
      </c>
      <c r="D115" t="s">
        <v>248</v>
      </c>
      <c r="E115" t="s">
        <v>91</v>
      </c>
      <c r="F115" t="s">
        <v>75</v>
      </c>
      <c r="G115" t="s">
        <v>126</v>
      </c>
      <c r="H115">
        <v>8</v>
      </c>
      <c r="I115" s="15">
        <v>12.99</v>
      </c>
      <c r="J115" s="16">
        <v>0</v>
      </c>
      <c r="K115" s="15">
        <f t="shared" si="2"/>
        <v>103.92</v>
      </c>
      <c r="L115" s="15">
        <f>ROUND(K115*VLOOKUP(F115,Reference!$A$4:$B$7,2,FALSE()),2)</f>
        <v>29.1</v>
      </c>
      <c r="M115" t="s">
        <v>63</v>
      </c>
      <c r="N115" t="str">
        <f t="shared" si="3"/>
        <v>May-2024</v>
      </c>
    </row>
    <row r="116" spans="1:14" x14ac:dyDescent="0.3">
      <c r="A116">
        <v>10071</v>
      </c>
      <c r="B116" s="14" t="s">
        <v>581</v>
      </c>
      <c r="C116" t="s">
        <v>169</v>
      </c>
      <c r="D116" t="s">
        <v>162</v>
      </c>
      <c r="E116" t="s">
        <v>61</v>
      </c>
      <c r="F116" t="s">
        <v>56</v>
      </c>
      <c r="G116" t="s">
        <v>57</v>
      </c>
      <c r="H116">
        <v>1</v>
      </c>
      <c r="I116" s="15">
        <v>55</v>
      </c>
      <c r="J116" s="16">
        <v>0.25</v>
      </c>
      <c r="K116" s="15">
        <f t="shared" si="2"/>
        <v>41.25</v>
      </c>
      <c r="L116" s="15">
        <f>ROUND(K116*VLOOKUP(F116,Reference!$A$4:$B$7,2,FALSE()),2)</f>
        <v>9.08</v>
      </c>
      <c r="M116" t="s">
        <v>63</v>
      </c>
      <c r="N116" t="str">
        <f t="shared" si="3"/>
        <v>May-2024</v>
      </c>
    </row>
    <row r="117" spans="1:14" x14ac:dyDescent="0.3">
      <c r="A117">
        <v>10324</v>
      </c>
      <c r="B117" s="14" t="s">
        <v>336</v>
      </c>
      <c r="C117" t="s">
        <v>337</v>
      </c>
      <c r="D117" t="s">
        <v>338</v>
      </c>
      <c r="E117" t="s">
        <v>61</v>
      </c>
      <c r="F117" t="s">
        <v>44</v>
      </c>
      <c r="G117" t="s">
        <v>146</v>
      </c>
      <c r="H117">
        <v>2</v>
      </c>
      <c r="I117" s="15">
        <v>3.1</v>
      </c>
      <c r="J117" s="16">
        <v>0.15</v>
      </c>
      <c r="K117" s="15">
        <f t="shared" si="2"/>
        <v>5.27</v>
      </c>
      <c r="L117" s="15">
        <f>ROUND(K117*VLOOKUP(F117,Reference!$A$4:$B$7,2,FALSE()),2)</f>
        <v>1.84</v>
      </c>
      <c r="M117" t="s">
        <v>63</v>
      </c>
      <c r="N117" t="str">
        <f t="shared" si="3"/>
        <v>May-2024</v>
      </c>
    </row>
    <row r="118" spans="1:14" x14ac:dyDescent="0.3">
      <c r="A118">
        <v>10081</v>
      </c>
      <c r="B118" s="14" t="s">
        <v>336</v>
      </c>
      <c r="C118" t="s">
        <v>213</v>
      </c>
      <c r="D118" t="s">
        <v>214</v>
      </c>
      <c r="E118" t="s">
        <v>43</v>
      </c>
      <c r="F118" t="s">
        <v>56</v>
      </c>
      <c r="G118" t="s">
        <v>217</v>
      </c>
      <c r="H118">
        <v>10</v>
      </c>
      <c r="I118" s="15">
        <v>8</v>
      </c>
      <c r="J118" s="16">
        <v>0.05</v>
      </c>
      <c r="K118" s="15">
        <f t="shared" si="2"/>
        <v>76</v>
      </c>
      <c r="L118" s="15">
        <f>ROUND(K118*VLOOKUP(F118,Reference!$A$4:$B$7,2,FALSE()),2)</f>
        <v>16.72</v>
      </c>
      <c r="M118" t="s">
        <v>52</v>
      </c>
      <c r="N118" t="str">
        <f t="shared" si="3"/>
        <v>May-2024</v>
      </c>
    </row>
    <row r="119" spans="1:14" x14ac:dyDescent="0.3">
      <c r="A119">
        <v>10355</v>
      </c>
      <c r="B119" s="14" t="s">
        <v>477</v>
      </c>
      <c r="C119" t="s">
        <v>177</v>
      </c>
      <c r="D119" t="s">
        <v>588</v>
      </c>
      <c r="E119" t="s">
        <v>43</v>
      </c>
      <c r="F119" t="s">
        <v>75</v>
      </c>
      <c r="G119" t="s">
        <v>126</v>
      </c>
      <c r="H119">
        <v>7</v>
      </c>
      <c r="I119" s="15">
        <v>12.99</v>
      </c>
      <c r="J119" s="16">
        <v>0.25</v>
      </c>
      <c r="K119" s="15">
        <f t="shared" si="2"/>
        <v>68.2</v>
      </c>
      <c r="L119" s="15">
        <f>ROUND(K119*VLOOKUP(F119,Reference!$A$4:$B$7,2,FALSE()),2)</f>
        <v>19.100000000000001</v>
      </c>
      <c r="M119" t="s">
        <v>52</v>
      </c>
      <c r="N119" t="str">
        <f t="shared" si="3"/>
        <v>May-2024</v>
      </c>
    </row>
    <row r="120" spans="1:14" x14ac:dyDescent="0.3">
      <c r="A120">
        <v>10065</v>
      </c>
      <c r="B120" s="14" t="s">
        <v>477</v>
      </c>
      <c r="C120" t="s">
        <v>376</v>
      </c>
      <c r="D120" t="s">
        <v>90</v>
      </c>
      <c r="E120" t="s">
        <v>74</v>
      </c>
      <c r="F120" t="s">
        <v>50</v>
      </c>
      <c r="G120" t="s">
        <v>99</v>
      </c>
      <c r="H120">
        <v>10</v>
      </c>
      <c r="I120" s="15">
        <v>15</v>
      </c>
      <c r="J120" s="16">
        <v>0</v>
      </c>
      <c r="K120" s="15">
        <f t="shared" si="2"/>
        <v>150</v>
      </c>
      <c r="L120" s="15">
        <f>ROUND(K120*VLOOKUP(F120,Reference!$A$4:$B$7,2,FALSE()),2)</f>
        <v>27</v>
      </c>
      <c r="M120" t="s">
        <v>63</v>
      </c>
      <c r="N120" t="str">
        <f t="shared" si="3"/>
        <v>May-2024</v>
      </c>
    </row>
    <row r="121" spans="1:14" x14ac:dyDescent="0.3">
      <c r="A121">
        <v>10338</v>
      </c>
      <c r="B121" s="14" t="s">
        <v>478</v>
      </c>
      <c r="C121" t="s">
        <v>128</v>
      </c>
      <c r="D121" t="s">
        <v>479</v>
      </c>
      <c r="E121" t="s">
        <v>43</v>
      </c>
      <c r="F121" t="s">
        <v>75</v>
      </c>
      <c r="G121" t="s">
        <v>126</v>
      </c>
      <c r="H121">
        <v>4</v>
      </c>
      <c r="I121" s="15">
        <v>12.99</v>
      </c>
      <c r="J121" s="16">
        <v>0.25</v>
      </c>
      <c r="K121" s="15">
        <f t="shared" si="2"/>
        <v>38.97</v>
      </c>
      <c r="L121" s="15">
        <f>ROUND(K121*VLOOKUP(F121,Reference!$A$4:$B$7,2,FALSE()),2)</f>
        <v>10.91</v>
      </c>
      <c r="M121" t="s">
        <v>63</v>
      </c>
      <c r="N121" t="str">
        <f t="shared" si="3"/>
        <v>May-2024</v>
      </c>
    </row>
    <row r="122" spans="1:14" x14ac:dyDescent="0.3">
      <c r="A122">
        <v>10247</v>
      </c>
      <c r="B122" s="14" t="s">
        <v>171</v>
      </c>
      <c r="C122" t="s">
        <v>172</v>
      </c>
      <c r="D122" t="s">
        <v>105</v>
      </c>
      <c r="E122" t="s">
        <v>91</v>
      </c>
      <c r="F122" t="s">
        <v>56</v>
      </c>
      <c r="G122" t="s">
        <v>57</v>
      </c>
      <c r="H122">
        <v>3</v>
      </c>
      <c r="I122" s="15">
        <v>55</v>
      </c>
      <c r="J122" s="16">
        <v>0.05</v>
      </c>
      <c r="K122" s="15">
        <f t="shared" si="2"/>
        <v>156.75</v>
      </c>
      <c r="L122" s="15">
        <f>ROUND(K122*VLOOKUP(F122,Reference!$A$4:$B$7,2,FALSE()),2)</f>
        <v>34.49</v>
      </c>
      <c r="M122" t="s">
        <v>63</v>
      </c>
      <c r="N122" t="str">
        <f t="shared" si="3"/>
        <v>May-2024</v>
      </c>
    </row>
    <row r="123" spans="1:14" x14ac:dyDescent="0.3">
      <c r="A123">
        <v>10031</v>
      </c>
      <c r="B123" s="14" t="s">
        <v>171</v>
      </c>
      <c r="C123" t="s">
        <v>299</v>
      </c>
      <c r="D123" t="s">
        <v>331</v>
      </c>
      <c r="E123" t="s">
        <v>125</v>
      </c>
      <c r="F123" t="s">
        <v>44</v>
      </c>
      <c r="G123" t="s">
        <v>45</v>
      </c>
      <c r="H123">
        <v>5</v>
      </c>
      <c r="I123" s="15">
        <v>4.25</v>
      </c>
      <c r="J123" s="16">
        <v>0.2</v>
      </c>
      <c r="K123" s="15">
        <f t="shared" si="2"/>
        <v>17</v>
      </c>
      <c r="L123" s="15">
        <f>ROUND(K123*VLOOKUP(F123,Reference!$A$4:$B$7,2,FALSE()),2)</f>
        <v>5.95</v>
      </c>
      <c r="M123" t="s">
        <v>52</v>
      </c>
      <c r="N123" t="str">
        <f t="shared" si="3"/>
        <v>May-2024</v>
      </c>
    </row>
    <row r="124" spans="1:14" x14ac:dyDescent="0.3">
      <c r="A124">
        <v>10011</v>
      </c>
      <c r="B124" s="14" t="s">
        <v>215</v>
      </c>
      <c r="C124" t="s">
        <v>151</v>
      </c>
      <c r="D124" t="s">
        <v>216</v>
      </c>
      <c r="E124" t="s">
        <v>91</v>
      </c>
      <c r="F124" t="s">
        <v>56</v>
      </c>
      <c r="G124" t="s">
        <v>217</v>
      </c>
      <c r="H124">
        <v>7</v>
      </c>
      <c r="I124" s="15">
        <v>8</v>
      </c>
      <c r="J124" s="16">
        <v>0.15</v>
      </c>
      <c r="K124" s="15">
        <f t="shared" si="2"/>
        <v>47.6</v>
      </c>
      <c r="L124" s="15">
        <f>ROUND(K124*VLOOKUP(F124,Reference!$A$4:$B$7,2,FALSE()),2)</f>
        <v>10.47</v>
      </c>
      <c r="M124" t="s">
        <v>52</v>
      </c>
      <c r="N124" t="str">
        <f t="shared" si="3"/>
        <v>May-2024</v>
      </c>
    </row>
    <row r="125" spans="1:14" x14ac:dyDescent="0.3">
      <c r="A125">
        <v>10182</v>
      </c>
      <c r="B125" s="14" t="s">
        <v>215</v>
      </c>
      <c r="C125" t="s">
        <v>108</v>
      </c>
      <c r="D125" t="s">
        <v>121</v>
      </c>
      <c r="E125" t="s">
        <v>74</v>
      </c>
      <c r="F125" t="s">
        <v>56</v>
      </c>
      <c r="G125" t="s">
        <v>149</v>
      </c>
      <c r="H125">
        <v>10</v>
      </c>
      <c r="I125" s="15">
        <v>42</v>
      </c>
      <c r="J125" s="16">
        <v>0.1</v>
      </c>
      <c r="K125" s="15">
        <f t="shared" si="2"/>
        <v>378</v>
      </c>
      <c r="L125" s="15">
        <f>ROUND(K125*VLOOKUP(F125,Reference!$A$4:$B$7,2,FALSE()),2)</f>
        <v>83.16</v>
      </c>
      <c r="M125" t="s">
        <v>63</v>
      </c>
      <c r="N125" t="str">
        <f t="shared" si="3"/>
        <v>May-2024</v>
      </c>
    </row>
    <row r="126" spans="1:14" x14ac:dyDescent="0.3">
      <c r="A126">
        <v>10037</v>
      </c>
      <c r="B126" s="14" t="s">
        <v>215</v>
      </c>
      <c r="C126" t="s">
        <v>519</v>
      </c>
      <c r="D126" t="s">
        <v>216</v>
      </c>
      <c r="E126" t="s">
        <v>125</v>
      </c>
      <c r="F126" t="s">
        <v>56</v>
      </c>
      <c r="G126" t="s">
        <v>217</v>
      </c>
      <c r="H126">
        <v>7</v>
      </c>
      <c r="I126" s="15">
        <v>8</v>
      </c>
      <c r="J126" s="16">
        <v>0</v>
      </c>
      <c r="K126" s="15">
        <f t="shared" si="2"/>
        <v>56</v>
      </c>
      <c r="L126" s="15">
        <f>ROUND(K126*VLOOKUP(F126,Reference!$A$4:$B$7,2,FALSE()),2)</f>
        <v>12.32</v>
      </c>
      <c r="M126" t="s">
        <v>63</v>
      </c>
      <c r="N126" t="str">
        <f t="shared" si="3"/>
        <v>May-2024</v>
      </c>
    </row>
    <row r="127" spans="1:14" x14ac:dyDescent="0.3">
      <c r="A127">
        <v>10044</v>
      </c>
      <c r="B127" s="14" t="s">
        <v>157</v>
      </c>
      <c r="C127" t="s">
        <v>410</v>
      </c>
      <c r="D127" t="s">
        <v>469</v>
      </c>
      <c r="E127" t="s">
        <v>43</v>
      </c>
      <c r="F127" t="s">
        <v>75</v>
      </c>
      <c r="G127" t="s">
        <v>303</v>
      </c>
      <c r="H127">
        <v>7</v>
      </c>
      <c r="I127" s="15">
        <v>29.99</v>
      </c>
      <c r="J127" s="16">
        <v>0.15</v>
      </c>
      <c r="K127" s="15">
        <f t="shared" si="2"/>
        <v>178.44</v>
      </c>
      <c r="L127" s="15">
        <f>ROUND(K127*VLOOKUP(F127,Reference!$A$4:$B$7,2,FALSE()),2)</f>
        <v>49.96</v>
      </c>
      <c r="M127" t="s">
        <v>46</v>
      </c>
      <c r="N127" t="str">
        <f t="shared" si="3"/>
        <v>May-2024</v>
      </c>
    </row>
    <row r="128" spans="1:14" x14ac:dyDescent="0.3">
      <c r="A128">
        <v>10206</v>
      </c>
      <c r="B128" s="14" t="s">
        <v>157</v>
      </c>
      <c r="C128" t="s">
        <v>158</v>
      </c>
      <c r="D128" t="s">
        <v>159</v>
      </c>
      <c r="E128" t="s">
        <v>91</v>
      </c>
      <c r="F128" t="s">
        <v>50</v>
      </c>
      <c r="G128" t="s">
        <v>80</v>
      </c>
      <c r="H128">
        <v>10</v>
      </c>
      <c r="I128" s="15">
        <v>89</v>
      </c>
      <c r="J128" s="16">
        <v>0.25</v>
      </c>
      <c r="K128" s="15">
        <f t="shared" si="2"/>
        <v>667.5</v>
      </c>
      <c r="L128" s="15">
        <f>ROUND(K128*VLOOKUP(F128,Reference!$A$4:$B$7,2,FALSE()),2)</f>
        <v>120.15</v>
      </c>
      <c r="M128" t="s">
        <v>63</v>
      </c>
      <c r="N128" t="str">
        <f t="shared" si="3"/>
        <v>May-2024</v>
      </c>
    </row>
    <row r="129" spans="1:14" x14ac:dyDescent="0.3">
      <c r="A129">
        <v>10008</v>
      </c>
      <c r="B129" s="14" t="s">
        <v>554</v>
      </c>
      <c r="C129" t="s">
        <v>503</v>
      </c>
      <c r="D129" t="s">
        <v>544</v>
      </c>
      <c r="E129" t="s">
        <v>43</v>
      </c>
      <c r="F129" t="s">
        <v>50</v>
      </c>
      <c r="G129" t="s">
        <v>99</v>
      </c>
      <c r="H129">
        <v>4</v>
      </c>
      <c r="I129" s="15">
        <v>15</v>
      </c>
      <c r="J129" s="16">
        <v>0</v>
      </c>
      <c r="K129" s="15">
        <f t="shared" si="2"/>
        <v>60</v>
      </c>
      <c r="L129" s="15">
        <f>ROUND(K129*VLOOKUP(F129,Reference!$A$4:$B$7,2,FALSE()),2)</f>
        <v>10.8</v>
      </c>
      <c r="M129" t="s">
        <v>63</v>
      </c>
      <c r="N129" t="str">
        <f t="shared" si="3"/>
        <v>May-2024</v>
      </c>
    </row>
    <row r="130" spans="1:14" x14ac:dyDescent="0.3">
      <c r="A130">
        <v>10113</v>
      </c>
      <c r="B130" s="14" t="s">
        <v>143</v>
      </c>
      <c r="C130" t="s">
        <v>367</v>
      </c>
      <c r="D130" t="s">
        <v>55</v>
      </c>
      <c r="E130" t="s">
        <v>125</v>
      </c>
      <c r="F130" t="s">
        <v>44</v>
      </c>
      <c r="G130" t="s">
        <v>156</v>
      </c>
      <c r="H130">
        <v>5</v>
      </c>
      <c r="I130" s="15">
        <v>27</v>
      </c>
      <c r="J130" s="16">
        <v>0.15</v>
      </c>
      <c r="K130" s="15">
        <f t="shared" si="2"/>
        <v>114.75</v>
      </c>
      <c r="L130" s="15">
        <f>ROUND(K130*VLOOKUP(F130,Reference!$A$4:$B$7,2,FALSE()),2)</f>
        <v>40.159999999999997</v>
      </c>
      <c r="M130" t="s">
        <v>63</v>
      </c>
      <c r="N130" t="str">
        <f t="shared" si="3"/>
        <v>May-2024</v>
      </c>
    </row>
    <row r="131" spans="1:14" x14ac:dyDescent="0.3">
      <c r="A131">
        <v>10135</v>
      </c>
      <c r="B131" s="14" t="s">
        <v>143</v>
      </c>
      <c r="C131" t="s">
        <v>144</v>
      </c>
      <c r="D131" t="s">
        <v>145</v>
      </c>
      <c r="E131" t="s">
        <v>74</v>
      </c>
      <c r="F131" t="s">
        <v>44</v>
      </c>
      <c r="G131" t="s">
        <v>146</v>
      </c>
      <c r="H131">
        <v>1</v>
      </c>
      <c r="I131" s="15">
        <v>3.1</v>
      </c>
      <c r="J131" s="16">
        <v>0</v>
      </c>
      <c r="K131" s="15">
        <f t="shared" si="2"/>
        <v>3.1</v>
      </c>
      <c r="L131" s="15">
        <f>ROUND(K131*VLOOKUP(F131,Reference!$A$4:$B$7,2,FALSE()),2)</f>
        <v>1.0900000000000001</v>
      </c>
      <c r="M131" t="s">
        <v>63</v>
      </c>
      <c r="N131" t="str">
        <f t="shared" si="3"/>
        <v>May-2024</v>
      </c>
    </row>
    <row r="132" spans="1:14" x14ac:dyDescent="0.3">
      <c r="A132">
        <v>10212</v>
      </c>
      <c r="B132" s="14" t="s">
        <v>473</v>
      </c>
      <c r="C132" t="s">
        <v>48</v>
      </c>
      <c r="D132" t="s">
        <v>233</v>
      </c>
      <c r="E132" t="s">
        <v>74</v>
      </c>
      <c r="F132" t="s">
        <v>75</v>
      </c>
      <c r="G132" t="s">
        <v>303</v>
      </c>
      <c r="H132">
        <v>9</v>
      </c>
      <c r="I132" s="15">
        <v>29.99</v>
      </c>
      <c r="J132" s="16">
        <v>0.2</v>
      </c>
      <c r="K132" s="15">
        <f t="shared" ref="K132:K195" si="4">ROUND(H132*I132*(1-J132),2)</f>
        <v>215.93</v>
      </c>
      <c r="L132" s="15">
        <f>ROUND(K132*VLOOKUP(F132,Reference!$A$4:$B$7,2,FALSE()),2)</f>
        <v>60.46</v>
      </c>
      <c r="M132" t="s">
        <v>63</v>
      </c>
      <c r="N132" t="str">
        <f t="shared" ref="N132:N195" si="5">TEXT(B132,"mmm-yyyy")</f>
        <v>May-2024</v>
      </c>
    </row>
    <row r="133" spans="1:14" x14ac:dyDescent="0.3">
      <c r="A133">
        <v>10178</v>
      </c>
      <c r="B133" s="14" t="s">
        <v>473</v>
      </c>
      <c r="C133" t="s">
        <v>138</v>
      </c>
      <c r="D133" t="s">
        <v>109</v>
      </c>
      <c r="E133" t="s">
        <v>43</v>
      </c>
      <c r="F133" t="s">
        <v>75</v>
      </c>
      <c r="G133" t="s">
        <v>95</v>
      </c>
      <c r="H133">
        <v>6</v>
      </c>
      <c r="I133" s="15">
        <v>18.75</v>
      </c>
      <c r="J133" s="16">
        <v>0</v>
      </c>
      <c r="K133" s="15">
        <f t="shared" si="4"/>
        <v>112.5</v>
      </c>
      <c r="L133" s="15">
        <f>ROUND(K133*VLOOKUP(F133,Reference!$A$4:$B$7,2,FALSE()),2)</f>
        <v>31.5</v>
      </c>
      <c r="M133" t="s">
        <v>46</v>
      </c>
      <c r="N133" t="str">
        <f t="shared" si="5"/>
        <v>May-2024</v>
      </c>
    </row>
    <row r="134" spans="1:14" x14ac:dyDescent="0.3">
      <c r="A134">
        <v>10271</v>
      </c>
      <c r="B134" s="14" t="s">
        <v>247</v>
      </c>
      <c r="C134" t="s">
        <v>221</v>
      </c>
      <c r="D134" t="s">
        <v>248</v>
      </c>
      <c r="E134" t="s">
        <v>61</v>
      </c>
      <c r="F134" t="s">
        <v>44</v>
      </c>
      <c r="G134" t="s">
        <v>67</v>
      </c>
      <c r="H134">
        <v>10</v>
      </c>
      <c r="I134" s="15">
        <v>5.5</v>
      </c>
      <c r="J134" s="16">
        <v>0.05</v>
      </c>
      <c r="K134" s="15">
        <f t="shared" si="4"/>
        <v>52.25</v>
      </c>
      <c r="L134" s="15">
        <f>ROUND(K134*VLOOKUP(F134,Reference!$A$4:$B$7,2,FALSE()),2)</f>
        <v>18.29</v>
      </c>
      <c r="M134" t="s">
        <v>46</v>
      </c>
      <c r="N134" t="str">
        <f t="shared" si="5"/>
        <v>May-2024</v>
      </c>
    </row>
    <row r="135" spans="1:14" x14ac:dyDescent="0.3">
      <c r="A135">
        <v>10342</v>
      </c>
      <c r="B135" s="14" t="s">
        <v>247</v>
      </c>
      <c r="C135" t="s">
        <v>267</v>
      </c>
      <c r="D135" t="s">
        <v>268</v>
      </c>
      <c r="E135" t="s">
        <v>61</v>
      </c>
      <c r="F135" t="s">
        <v>50</v>
      </c>
      <c r="G135" t="s">
        <v>84</v>
      </c>
      <c r="H135">
        <v>4</v>
      </c>
      <c r="I135" s="15">
        <v>75.5</v>
      </c>
      <c r="J135" s="16">
        <v>0.05</v>
      </c>
      <c r="K135" s="15">
        <f t="shared" si="4"/>
        <v>286.89999999999998</v>
      </c>
      <c r="L135" s="15">
        <f>ROUND(K135*VLOOKUP(F135,Reference!$A$4:$B$7,2,FALSE()),2)</f>
        <v>51.64</v>
      </c>
      <c r="M135" t="s">
        <v>52</v>
      </c>
      <c r="N135" t="str">
        <f t="shared" si="5"/>
        <v>May-2024</v>
      </c>
    </row>
    <row r="136" spans="1:14" x14ac:dyDescent="0.3">
      <c r="A136">
        <v>10231</v>
      </c>
      <c r="B136" s="14" t="s">
        <v>212</v>
      </c>
      <c r="C136" t="s">
        <v>213</v>
      </c>
      <c r="D136" t="s">
        <v>214</v>
      </c>
      <c r="E136" t="s">
        <v>61</v>
      </c>
      <c r="F136" t="s">
        <v>50</v>
      </c>
      <c r="G136" t="s">
        <v>51</v>
      </c>
      <c r="H136">
        <v>7</v>
      </c>
      <c r="I136" s="15">
        <v>120</v>
      </c>
      <c r="J136" s="16">
        <v>0.15</v>
      </c>
      <c r="K136" s="15">
        <f t="shared" si="4"/>
        <v>714</v>
      </c>
      <c r="L136" s="15">
        <f>ROUND(K136*VLOOKUP(F136,Reference!$A$4:$B$7,2,FALSE()),2)</f>
        <v>128.52000000000001</v>
      </c>
      <c r="M136" t="s">
        <v>52</v>
      </c>
      <c r="N136" t="str">
        <f t="shared" si="5"/>
        <v>May-2024</v>
      </c>
    </row>
    <row r="137" spans="1:14" x14ac:dyDescent="0.3">
      <c r="A137">
        <v>10056</v>
      </c>
      <c r="B137" s="14" t="s">
        <v>212</v>
      </c>
      <c r="C137" t="s">
        <v>158</v>
      </c>
      <c r="D137" t="s">
        <v>242</v>
      </c>
      <c r="E137" t="s">
        <v>125</v>
      </c>
      <c r="F137" t="s">
        <v>44</v>
      </c>
      <c r="G137" t="s">
        <v>146</v>
      </c>
      <c r="H137">
        <v>6</v>
      </c>
      <c r="I137" s="15">
        <v>3.1</v>
      </c>
      <c r="J137" s="16">
        <v>0</v>
      </c>
      <c r="K137" s="15">
        <f t="shared" si="4"/>
        <v>18.600000000000001</v>
      </c>
      <c r="L137" s="15">
        <f>ROUND(K137*VLOOKUP(F137,Reference!$A$4:$B$7,2,FALSE()),2)</f>
        <v>6.51</v>
      </c>
      <c r="M137" t="s">
        <v>46</v>
      </c>
      <c r="N137" t="str">
        <f t="shared" si="5"/>
        <v>May-2024</v>
      </c>
    </row>
    <row r="138" spans="1:14" x14ac:dyDescent="0.3">
      <c r="A138">
        <v>10027</v>
      </c>
      <c r="B138" s="14" t="s">
        <v>212</v>
      </c>
      <c r="C138" t="s">
        <v>456</v>
      </c>
      <c r="D138" t="s">
        <v>94</v>
      </c>
      <c r="E138" t="s">
        <v>61</v>
      </c>
      <c r="F138" t="s">
        <v>56</v>
      </c>
      <c r="G138" t="s">
        <v>149</v>
      </c>
      <c r="H138">
        <v>4</v>
      </c>
      <c r="I138" s="15">
        <v>42</v>
      </c>
      <c r="J138" s="16">
        <v>0.1</v>
      </c>
      <c r="K138" s="15">
        <f t="shared" si="4"/>
        <v>151.19999999999999</v>
      </c>
      <c r="L138" s="15">
        <f>ROUND(K138*VLOOKUP(F138,Reference!$A$4:$B$7,2,FALSE()),2)</f>
        <v>33.26</v>
      </c>
      <c r="M138" t="s">
        <v>46</v>
      </c>
      <c r="N138" t="str">
        <f t="shared" si="5"/>
        <v>May-2024</v>
      </c>
    </row>
    <row r="139" spans="1:14" x14ac:dyDescent="0.3">
      <c r="A139">
        <v>10237</v>
      </c>
      <c r="B139" s="14" t="s">
        <v>119</v>
      </c>
      <c r="C139" t="s">
        <v>358</v>
      </c>
      <c r="D139" t="s">
        <v>216</v>
      </c>
      <c r="E139" t="s">
        <v>125</v>
      </c>
      <c r="F139" t="s">
        <v>44</v>
      </c>
      <c r="G139" t="s">
        <v>106</v>
      </c>
      <c r="H139">
        <v>10</v>
      </c>
      <c r="I139" s="15">
        <v>6.75</v>
      </c>
      <c r="J139" s="16">
        <v>0.15</v>
      </c>
      <c r="K139" s="15">
        <f t="shared" si="4"/>
        <v>57.38</v>
      </c>
      <c r="L139" s="15">
        <f>ROUND(K139*VLOOKUP(F139,Reference!$A$4:$B$7,2,FALSE()),2)</f>
        <v>20.079999999999998</v>
      </c>
      <c r="M139" t="s">
        <v>63</v>
      </c>
      <c r="N139" t="str">
        <f t="shared" si="5"/>
        <v>May-2024</v>
      </c>
    </row>
    <row r="140" spans="1:14" x14ac:dyDescent="0.3">
      <c r="A140">
        <v>10213</v>
      </c>
      <c r="B140" s="14" t="s">
        <v>119</v>
      </c>
      <c r="C140" t="s">
        <v>120</v>
      </c>
      <c r="D140" t="s">
        <v>121</v>
      </c>
      <c r="E140" t="s">
        <v>43</v>
      </c>
      <c r="F140" t="s">
        <v>44</v>
      </c>
      <c r="G140" t="s">
        <v>67</v>
      </c>
      <c r="H140">
        <v>6</v>
      </c>
      <c r="I140" s="15">
        <v>5.5</v>
      </c>
      <c r="J140" s="16">
        <v>0.25</v>
      </c>
      <c r="K140" s="15">
        <f t="shared" si="4"/>
        <v>24.75</v>
      </c>
      <c r="L140" s="15">
        <f>ROUND(K140*VLOOKUP(F140,Reference!$A$4:$B$7,2,FALSE()),2)</f>
        <v>8.66</v>
      </c>
      <c r="M140" t="s">
        <v>63</v>
      </c>
      <c r="N140" t="str">
        <f t="shared" si="5"/>
        <v>May-2024</v>
      </c>
    </row>
    <row r="141" spans="1:14" x14ac:dyDescent="0.3">
      <c r="A141">
        <v>10006</v>
      </c>
      <c r="B141" s="14" t="s">
        <v>514</v>
      </c>
      <c r="C141" t="s">
        <v>378</v>
      </c>
      <c r="D141" t="s">
        <v>183</v>
      </c>
      <c r="E141" t="s">
        <v>91</v>
      </c>
      <c r="F141" t="s">
        <v>44</v>
      </c>
      <c r="G141" t="s">
        <v>106</v>
      </c>
      <c r="H141">
        <v>4</v>
      </c>
      <c r="I141" s="15">
        <v>6.75</v>
      </c>
      <c r="J141" s="16">
        <v>0</v>
      </c>
      <c r="K141" s="15">
        <f t="shared" si="4"/>
        <v>27</v>
      </c>
      <c r="L141" s="15">
        <f>ROUND(K141*VLOOKUP(F141,Reference!$A$4:$B$7,2,FALSE()),2)</f>
        <v>9.4499999999999993</v>
      </c>
      <c r="M141" t="s">
        <v>63</v>
      </c>
      <c r="N141" t="str">
        <f t="shared" si="5"/>
        <v>May-2024</v>
      </c>
    </row>
    <row r="142" spans="1:14" x14ac:dyDescent="0.3">
      <c r="A142">
        <v>10211</v>
      </c>
      <c r="B142" s="14" t="s">
        <v>344</v>
      </c>
      <c r="C142" t="s">
        <v>101</v>
      </c>
      <c r="D142" t="s">
        <v>345</v>
      </c>
      <c r="E142" t="s">
        <v>125</v>
      </c>
      <c r="F142" t="s">
        <v>44</v>
      </c>
      <c r="G142" t="s">
        <v>146</v>
      </c>
      <c r="H142">
        <v>4</v>
      </c>
      <c r="I142" s="15">
        <v>3.1</v>
      </c>
      <c r="J142" s="16">
        <v>0.25</v>
      </c>
      <c r="K142" s="15">
        <f t="shared" si="4"/>
        <v>9.3000000000000007</v>
      </c>
      <c r="L142" s="15">
        <f>ROUND(K142*VLOOKUP(F142,Reference!$A$4:$B$7,2,FALSE()),2)</f>
        <v>3.26</v>
      </c>
      <c r="M142" t="s">
        <v>46</v>
      </c>
      <c r="N142" t="str">
        <f t="shared" si="5"/>
        <v>Jun-2024</v>
      </c>
    </row>
    <row r="143" spans="1:14" x14ac:dyDescent="0.3">
      <c r="A143">
        <v>10082</v>
      </c>
      <c r="B143" s="14" t="s">
        <v>344</v>
      </c>
      <c r="C143" t="s">
        <v>564</v>
      </c>
      <c r="D143" t="s">
        <v>552</v>
      </c>
      <c r="E143" t="s">
        <v>91</v>
      </c>
      <c r="F143" t="s">
        <v>56</v>
      </c>
      <c r="G143" t="s">
        <v>57</v>
      </c>
      <c r="H143">
        <v>10</v>
      </c>
      <c r="I143" s="15">
        <v>55</v>
      </c>
      <c r="J143" s="16">
        <v>0</v>
      </c>
      <c r="K143" s="15">
        <f t="shared" si="4"/>
        <v>550</v>
      </c>
      <c r="L143" s="15">
        <f>ROUND(K143*VLOOKUP(F143,Reference!$A$4:$B$7,2,FALSE()),2)</f>
        <v>121</v>
      </c>
      <c r="M143" t="s">
        <v>46</v>
      </c>
      <c r="N143" t="str">
        <f t="shared" si="5"/>
        <v>Jun-2024</v>
      </c>
    </row>
    <row r="144" spans="1:14" x14ac:dyDescent="0.3">
      <c r="A144">
        <v>10375</v>
      </c>
      <c r="B144" s="14" t="s">
        <v>546</v>
      </c>
      <c r="C144" t="s">
        <v>393</v>
      </c>
      <c r="D144" t="s">
        <v>547</v>
      </c>
      <c r="E144" t="s">
        <v>61</v>
      </c>
      <c r="F144" t="s">
        <v>44</v>
      </c>
      <c r="G144" t="s">
        <v>146</v>
      </c>
      <c r="H144">
        <v>7</v>
      </c>
      <c r="I144" s="15">
        <v>3.1</v>
      </c>
      <c r="J144" s="16">
        <v>0</v>
      </c>
      <c r="K144" s="15">
        <f t="shared" si="4"/>
        <v>21.7</v>
      </c>
      <c r="L144" s="15">
        <f>ROUND(K144*VLOOKUP(F144,Reference!$A$4:$B$7,2,FALSE()),2)</f>
        <v>7.6</v>
      </c>
      <c r="M144" t="s">
        <v>46</v>
      </c>
      <c r="N144" t="str">
        <f t="shared" si="5"/>
        <v>Jun-2024</v>
      </c>
    </row>
    <row r="145" spans="1:14" x14ac:dyDescent="0.3">
      <c r="A145">
        <v>10108</v>
      </c>
      <c r="B145" s="14" t="s">
        <v>530</v>
      </c>
      <c r="C145" t="s">
        <v>543</v>
      </c>
      <c r="D145" t="s">
        <v>485</v>
      </c>
      <c r="E145" t="s">
        <v>125</v>
      </c>
      <c r="F145" t="s">
        <v>56</v>
      </c>
      <c r="G145" t="s">
        <v>366</v>
      </c>
      <c r="H145">
        <v>2</v>
      </c>
      <c r="I145" s="15">
        <v>38.5</v>
      </c>
      <c r="J145" s="16">
        <v>0.05</v>
      </c>
      <c r="K145" s="15">
        <f t="shared" si="4"/>
        <v>73.150000000000006</v>
      </c>
      <c r="L145" s="15">
        <f>ROUND(K145*VLOOKUP(F145,Reference!$A$4:$B$7,2,FALSE()),2)</f>
        <v>16.09</v>
      </c>
      <c r="M145" t="s">
        <v>52</v>
      </c>
      <c r="N145" t="str">
        <f t="shared" si="5"/>
        <v>Jun-2024</v>
      </c>
    </row>
    <row r="146" spans="1:14" x14ac:dyDescent="0.3">
      <c r="A146">
        <v>10352</v>
      </c>
      <c r="B146" s="14" t="s">
        <v>615</v>
      </c>
      <c r="C146" t="s">
        <v>273</v>
      </c>
      <c r="D146" t="s">
        <v>79</v>
      </c>
      <c r="E146" t="s">
        <v>74</v>
      </c>
      <c r="F146" t="s">
        <v>50</v>
      </c>
      <c r="G146" t="s">
        <v>51</v>
      </c>
      <c r="H146">
        <v>1</v>
      </c>
      <c r="I146" s="15">
        <v>120</v>
      </c>
      <c r="J146" s="16">
        <v>0.2</v>
      </c>
      <c r="K146" s="15">
        <f t="shared" si="4"/>
        <v>96</v>
      </c>
      <c r="L146" s="15">
        <f>ROUND(K146*VLOOKUP(F146,Reference!$A$4:$B$7,2,FALSE()),2)</f>
        <v>17.28</v>
      </c>
      <c r="M146" t="s">
        <v>63</v>
      </c>
      <c r="N146" t="str">
        <f t="shared" si="5"/>
        <v>Jun-2024</v>
      </c>
    </row>
    <row r="147" spans="1:14" x14ac:dyDescent="0.3">
      <c r="A147">
        <v>10047</v>
      </c>
      <c r="B147" s="14" t="s">
        <v>153</v>
      </c>
      <c r="C147" t="s">
        <v>154</v>
      </c>
      <c r="D147" t="s">
        <v>155</v>
      </c>
      <c r="E147" t="s">
        <v>61</v>
      </c>
      <c r="F147" t="s">
        <v>44</v>
      </c>
      <c r="G147" t="s">
        <v>156</v>
      </c>
      <c r="H147">
        <v>5</v>
      </c>
      <c r="I147" s="15">
        <v>27</v>
      </c>
      <c r="J147" s="16">
        <v>0</v>
      </c>
      <c r="K147" s="15">
        <f t="shared" si="4"/>
        <v>135</v>
      </c>
      <c r="L147" s="15">
        <f>ROUND(K147*VLOOKUP(F147,Reference!$A$4:$B$7,2,FALSE()),2)</f>
        <v>47.25</v>
      </c>
      <c r="M147" t="s">
        <v>46</v>
      </c>
      <c r="N147" t="str">
        <f t="shared" si="5"/>
        <v>Jun-2024</v>
      </c>
    </row>
    <row r="148" spans="1:14" x14ac:dyDescent="0.3">
      <c r="A148">
        <v>10137</v>
      </c>
      <c r="B148" s="14" t="s">
        <v>497</v>
      </c>
      <c r="C148" t="s">
        <v>498</v>
      </c>
      <c r="D148" t="s">
        <v>499</v>
      </c>
      <c r="E148" t="s">
        <v>74</v>
      </c>
      <c r="F148" t="s">
        <v>75</v>
      </c>
      <c r="G148" t="s">
        <v>126</v>
      </c>
      <c r="H148">
        <v>3</v>
      </c>
      <c r="I148" s="15">
        <v>12.99</v>
      </c>
      <c r="J148" s="16">
        <v>0</v>
      </c>
      <c r="K148" s="15">
        <f t="shared" si="4"/>
        <v>38.97</v>
      </c>
      <c r="L148" s="15">
        <f>ROUND(K148*VLOOKUP(F148,Reference!$A$4:$B$7,2,FALSE()),2)</f>
        <v>10.91</v>
      </c>
      <c r="M148" t="s">
        <v>52</v>
      </c>
      <c r="N148" t="str">
        <f t="shared" si="5"/>
        <v>Jun-2024</v>
      </c>
    </row>
    <row r="149" spans="1:14" x14ac:dyDescent="0.3">
      <c r="A149">
        <v>10019</v>
      </c>
      <c r="B149" s="14" t="s">
        <v>497</v>
      </c>
      <c r="C149" t="s">
        <v>403</v>
      </c>
      <c r="D149" t="s">
        <v>501</v>
      </c>
      <c r="E149" t="s">
        <v>61</v>
      </c>
      <c r="F149" t="s">
        <v>44</v>
      </c>
      <c r="G149" t="s">
        <v>156</v>
      </c>
      <c r="H149">
        <v>9</v>
      </c>
      <c r="I149" s="15">
        <v>27</v>
      </c>
      <c r="J149" s="16">
        <v>0.25</v>
      </c>
      <c r="K149" s="15">
        <f t="shared" si="4"/>
        <v>182.25</v>
      </c>
      <c r="L149" s="15">
        <f>ROUND(K149*VLOOKUP(F149,Reference!$A$4:$B$7,2,FALSE()),2)</f>
        <v>63.79</v>
      </c>
      <c r="M149" t="s">
        <v>52</v>
      </c>
      <c r="N149" t="str">
        <f t="shared" si="5"/>
        <v>Jun-2024</v>
      </c>
    </row>
    <row r="150" spans="1:14" x14ac:dyDescent="0.3">
      <c r="A150">
        <v>10181</v>
      </c>
      <c r="B150" s="14" t="s">
        <v>298</v>
      </c>
      <c r="C150" t="s">
        <v>299</v>
      </c>
      <c r="D150" t="s">
        <v>175</v>
      </c>
      <c r="E150" t="s">
        <v>74</v>
      </c>
      <c r="F150" t="s">
        <v>50</v>
      </c>
      <c r="G150" t="s">
        <v>80</v>
      </c>
      <c r="H150">
        <v>1</v>
      </c>
      <c r="I150" s="15">
        <v>89</v>
      </c>
      <c r="J150" s="16">
        <v>0</v>
      </c>
      <c r="K150" s="15">
        <f t="shared" si="4"/>
        <v>89</v>
      </c>
      <c r="L150" s="15">
        <f>ROUND(K150*VLOOKUP(F150,Reference!$A$4:$B$7,2,FALSE()),2)</f>
        <v>16.02</v>
      </c>
      <c r="M150" t="s">
        <v>63</v>
      </c>
      <c r="N150" t="str">
        <f t="shared" si="5"/>
        <v>Jun-2024</v>
      </c>
    </row>
    <row r="151" spans="1:14" x14ac:dyDescent="0.3">
      <c r="A151">
        <v>10285</v>
      </c>
      <c r="B151" s="14" t="s">
        <v>298</v>
      </c>
      <c r="C151" t="s">
        <v>144</v>
      </c>
      <c r="D151" t="s">
        <v>384</v>
      </c>
      <c r="E151" t="s">
        <v>91</v>
      </c>
      <c r="F151" t="s">
        <v>56</v>
      </c>
      <c r="G151" t="s">
        <v>217</v>
      </c>
      <c r="H151">
        <v>7</v>
      </c>
      <c r="I151" s="15">
        <v>8</v>
      </c>
      <c r="J151" s="16">
        <v>0</v>
      </c>
      <c r="K151" s="15">
        <f t="shared" si="4"/>
        <v>56</v>
      </c>
      <c r="L151" s="15">
        <f>ROUND(K151*VLOOKUP(F151,Reference!$A$4:$B$7,2,FALSE()),2)</f>
        <v>12.32</v>
      </c>
      <c r="M151" t="s">
        <v>63</v>
      </c>
      <c r="N151" t="str">
        <f t="shared" si="5"/>
        <v>Jun-2024</v>
      </c>
    </row>
    <row r="152" spans="1:14" x14ac:dyDescent="0.3">
      <c r="A152">
        <v>10270</v>
      </c>
      <c r="B152" s="14" t="s">
        <v>298</v>
      </c>
      <c r="C152" t="s">
        <v>54</v>
      </c>
      <c r="D152" t="s">
        <v>474</v>
      </c>
      <c r="E152" t="s">
        <v>125</v>
      </c>
      <c r="F152" t="s">
        <v>56</v>
      </c>
      <c r="G152" t="s">
        <v>57</v>
      </c>
      <c r="H152">
        <v>5</v>
      </c>
      <c r="I152" s="15">
        <v>55</v>
      </c>
      <c r="J152" s="16">
        <v>0.25</v>
      </c>
      <c r="K152" s="15">
        <f t="shared" si="4"/>
        <v>206.25</v>
      </c>
      <c r="L152" s="15">
        <f>ROUND(K152*VLOOKUP(F152,Reference!$A$4:$B$7,2,FALSE()),2)</f>
        <v>45.38</v>
      </c>
      <c r="M152" t="s">
        <v>52</v>
      </c>
      <c r="N152" t="str">
        <f t="shared" si="5"/>
        <v>Jun-2024</v>
      </c>
    </row>
    <row r="153" spans="1:14" x14ac:dyDescent="0.3">
      <c r="A153">
        <v>10197</v>
      </c>
      <c r="B153" s="14" t="s">
        <v>298</v>
      </c>
      <c r="C153" t="s">
        <v>154</v>
      </c>
      <c r="D153" t="s">
        <v>331</v>
      </c>
      <c r="E153" t="s">
        <v>125</v>
      </c>
      <c r="F153" t="s">
        <v>50</v>
      </c>
      <c r="G153" t="s">
        <v>84</v>
      </c>
      <c r="H153">
        <v>9</v>
      </c>
      <c r="I153" s="15">
        <v>75.5</v>
      </c>
      <c r="J153" s="16">
        <v>0.25</v>
      </c>
      <c r="K153" s="15">
        <f t="shared" si="4"/>
        <v>509.63</v>
      </c>
      <c r="L153" s="15">
        <f>ROUND(K153*VLOOKUP(F153,Reference!$A$4:$B$7,2,FALSE()),2)</f>
        <v>91.73</v>
      </c>
      <c r="M153" t="s">
        <v>63</v>
      </c>
      <c r="N153" t="str">
        <f t="shared" si="5"/>
        <v>Jun-2024</v>
      </c>
    </row>
    <row r="154" spans="1:14" x14ac:dyDescent="0.3">
      <c r="A154">
        <v>10173</v>
      </c>
      <c r="B154" s="14" t="s">
        <v>537</v>
      </c>
      <c r="C154" t="s">
        <v>423</v>
      </c>
      <c r="D154" t="s">
        <v>368</v>
      </c>
      <c r="E154" t="s">
        <v>74</v>
      </c>
      <c r="F154" t="s">
        <v>56</v>
      </c>
      <c r="G154" t="s">
        <v>217</v>
      </c>
      <c r="H154">
        <v>8</v>
      </c>
      <c r="I154" s="15">
        <v>8</v>
      </c>
      <c r="J154" s="16">
        <v>0.1</v>
      </c>
      <c r="K154" s="15">
        <f t="shared" si="4"/>
        <v>57.6</v>
      </c>
      <c r="L154" s="15">
        <f>ROUND(K154*VLOOKUP(F154,Reference!$A$4:$B$7,2,FALSE()),2)</f>
        <v>12.67</v>
      </c>
      <c r="M154" t="s">
        <v>52</v>
      </c>
      <c r="N154" t="str">
        <f t="shared" si="5"/>
        <v>Jun-2024</v>
      </c>
    </row>
    <row r="155" spans="1:14" x14ac:dyDescent="0.3">
      <c r="A155">
        <v>10010</v>
      </c>
      <c r="B155" s="14" t="s">
        <v>537</v>
      </c>
      <c r="C155" t="s">
        <v>472</v>
      </c>
      <c r="D155" t="s">
        <v>471</v>
      </c>
      <c r="E155" t="s">
        <v>125</v>
      </c>
      <c r="F155" t="s">
        <v>56</v>
      </c>
      <c r="G155" t="s">
        <v>366</v>
      </c>
      <c r="H155">
        <v>8</v>
      </c>
      <c r="I155" s="15">
        <v>38.5</v>
      </c>
      <c r="J155" s="16">
        <v>0</v>
      </c>
      <c r="K155" s="15">
        <f t="shared" si="4"/>
        <v>308</v>
      </c>
      <c r="L155" s="15">
        <f>ROUND(K155*VLOOKUP(F155,Reference!$A$4:$B$7,2,FALSE()),2)</f>
        <v>67.760000000000005</v>
      </c>
      <c r="M155" t="s">
        <v>46</v>
      </c>
      <c r="N155" t="str">
        <f t="shared" si="5"/>
        <v>Jun-2024</v>
      </c>
    </row>
    <row r="156" spans="1:14" x14ac:dyDescent="0.3">
      <c r="A156">
        <v>10369</v>
      </c>
      <c r="B156" s="14" t="s">
        <v>500</v>
      </c>
      <c r="C156" t="s">
        <v>466</v>
      </c>
      <c r="D156" t="s">
        <v>544</v>
      </c>
      <c r="E156" t="s">
        <v>43</v>
      </c>
      <c r="F156" t="s">
        <v>75</v>
      </c>
      <c r="G156" t="s">
        <v>95</v>
      </c>
      <c r="H156">
        <v>9</v>
      </c>
      <c r="I156" s="15">
        <v>18.75</v>
      </c>
      <c r="J156" s="16">
        <v>0.2</v>
      </c>
      <c r="K156" s="15">
        <f t="shared" si="4"/>
        <v>135</v>
      </c>
      <c r="L156" s="15">
        <f>ROUND(K156*VLOOKUP(F156,Reference!$A$4:$B$7,2,FALSE()),2)</f>
        <v>37.799999999999997</v>
      </c>
      <c r="M156" t="s">
        <v>52</v>
      </c>
      <c r="N156" t="str">
        <f t="shared" si="5"/>
        <v>Jun-2024</v>
      </c>
    </row>
    <row r="157" spans="1:14" x14ac:dyDescent="0.3">
      <c r="A157">
        <v>10354</v>
      </c>
      <c r="B157" s="14" t="s">
        <v>500</v>
      </c>
      <c r="C157" t="s">
        <v>428</v>
      </c>
      <c r="D157" t="s">
        <v>501</v>
      </c>
      <c r="E157" t="s">
        <v>125</v>
      </c>
      <c r="F157" t="s">
        <v>75</v>
      </c>
      <c r="G157" t="s">
        <v>76</v>
      </c>
      <c r="H157">
        <v>8</v>
      </c>
      <c r="I157" s="15">
        <v>22</v>
      </c>
      <c r="J157" s="16">
        <v>0</v>
      </c>
      <c r="K157" s="15">
        <f t="shared" si="4"/>
        <v>176</v>
      </c>
      <c r="L157" s="15">
        <f>ROUND(K157*VLOOKUP(F157,Reference!$A$4:$B$7,2,FALSE()),2)</f>
        <v>49.28</v>
      </c>
      <c r="M157" t="s">
        <v>52</v>
      </c>
      <c r="N157" t="str">
        <f t="shared" si="5"/>
        <v>Jun-2024</v>
      </c>
    </row>
    <row r="158" spans="1:14" x14ac:dyDescent="0.3">
      <c r="A158">
        <v>10124</v>
      </c>
      <c r="B158" s="14" t="s">
        <v>395</v>
      </c>
      <c r="C158" t="s">
        <v>614</v>
      </c>
      <c r="D158" t="s">
        <v>320</v>
      </c>
      <c r="E158" t="s">
        <v>43</v>
      </c>
      <c r="F158" t="s">
        <v>50</v>
      </c>
      <c r="G158" t="s">
        <v>62</v>
      </c>
      <c r="H158">
        <v>1</v>
      </c>
      <c r="I158" s="15">
        <v>65</v>
      </c>
      <c r="J158" s="16">
        <v>0</v>
      </c>
      <c r="K158" s="15">
        <f t="shared" si="4"/>
        <v>65</v>
      </c>
      <c r="L158" s="15">
        <f>ROUND(K158*VLOOKUP(F158,Reference!$A$4:$B$7,2,FALSE()),2)</f>
        <v>11.7</v>
      </c>
      <c r="M158" t="s">
        <v>46</v>
      </c>
      <c r="N158" t="str">
        <f t="shared" si="5"/>
        <v>Jun-2024</v>
      </c>
    </row>
    <row r="159" spans="1:14" x14ac:dyDescent="0.3">
      <c r="A159">
        <v>10301</v>
      </c>
      <c r="B159" s="14" t="s">
        <v>395</v>
      </c>
      <c r="C159" t="s">
        <v>396</v>
      </c>
      <c r="D159" t="s">
        <v>397</v>
      </c>
      <c r="E159" t="s">
        <v>74</v>
      </c>
      <c r="F159" t="s">
        <v>44</v>
      </c>
      <c r="G159" t="s">
        <v>106</v>
      </c>
      <c r="H159">
        <v>10</v>
      </c>
      <c r="I159" s="15">
        <v>6.75</v>
      </c>
      <c r="J159" s="16">
        <v>0</v>
      </c>
      <c r="K159" s="15">
        <f t="shared" si="4"/>
        <v>67.5</v>
      </c>
      <c r="L159" s="15">
        <f>ROUND(K159*VLOOKUP(F159,Reference!$A$4:$B$7,2,FALSE()),2)</f>
        <v>23.63</v>
      </c>
      <c r="M159" t="s">
        <v>46</v>
      </c>
      <c r="N159" t="str">
        <f t="shared" si="5"/>
        <v>Jun-2024</v>
      </c>
    </row>
    <row r="160" spans="1:14" x14ac:dyDescent="0.3">
      <c r="A160">
        <v>10265</v>
      </c>
      <c r="B160" s="14" t="s">
        <v>626</v>
      </c>
      <c r="C160" t="s">
        <v>602</v>
      </c>
      <c r="D160" t="s">
        <v>180</v>
      </c>
      <c r="E160" t="s">
        <v>61</v>
      </c>
      <c r="F160" t="s">
        <v>75</v>
      </c>
      <c r="G160" t="s">
        <v>76</v>
      </c>
      <c r="H160">
        <v>7</v>
      </c>
      <c r="I160" s="15">
        <v>22</v>
      </c>
      <c r="J160" s="16">
        <v>0.2</v>
      </c>
      <c r="K160" s="15">
        <f t="shared" si="4"/>
        <v>123.2</v>
      </c>
      <c r="L160" s="15">
        <f>ROUND(K160*VLOOKUP(F160,Reference!$A$4:$B$7,2,FALSE()),2)</f>
        <v>34.5</v>
      </c>
      <c r="M160" t="s">
        <v>46</v>
      </c>
      <c r="N160" t="str">
        <f t="shared" si="5"/>
        <v>Jun-2024</v>
      </c>
    </row>
    <row r="161" spans="1:14" x14ac:dyDescent="0.3">
      <c r="A161">
        <v>10332</v>
      </c>
      <c r="B161" s="14" t="s">
        <v>107</v>
      </c>
      <c r="C161" t="s">
        <v>108</v>
      </c>
      <c r="D161" t="s">
        <v>109</v>
      </c>
      <c r="E161" t="s">
        <v>74</v>
      </c>
      <c r="F161" t="s">
        <v>56</v>
      </c>
      <c r="G161" t="s">
        <v>57</v>
      </c>
      <c r="H161">
        <v>4</v>
      </c>
      <c r="I161" s="15">
        <v>55</v>
      </c>
      <c r="J161" s="16">
        <v>0</v>
      </c>
      <c r="K161" s="15">
        <f t="shared" si="4"/>
        <v>220</v>
      </c>
      <c r="L161" s="15">
        <f>ROUND(K161*VLOOKUP(F161,Reference!$A$4:$B$7,2,FALSE()),2)</f>
        <v>48.4</v>
      </c>
      <c r="M161" t="s">
        <v>63</v>
      </c>
      <c r="N161" t="str">
        <f t="shared" si="5"/>
        <v>Jun-2024</v>
      </c>
    </row>
    <row r="162" spans="1:14" x14ac:dyDescent="0.3">
      <c r="A162">
        <v>10317</v>
      </c>
      <c r="B162" s="14" t="s">
        <v>107</v>
      </c>
      <c r="C162" t="s">
        <v>245</v>
      </c>
      <c r="D162" t="s">
        <v>246</v>
      </c>
      <c r="E162" t="s">
        <v>61</v>
      </c>
      <c r="F162" t="s">
        <v>75</v>
      </c>
      <c r="G162" t="s">
        <v>76</v>
      </c>
      <c r="H162">
        <v>7</v>
      </c>
      <c r="I162" s="15">
        <v>22</v>
      </c>
      <c r="J162" s="16">
        <v>0.05</v>
      </c>
      <c r="K162" s="15">
        <f t="shared" si="4"/>
        <v>146.30000000000001</v>
      </c>
      <c r="L162" s="15">
        <f>ROUND(K162*VLOOKUP(F162,Reference!$A$4:$B$7,2,FALSE()),2)</f>
        <v>40.96</v>
      </c>
      <c r="M162" t="s">
        <v>63</v>
      </c>
      <c r="N162" t="str">
        <f t="shared" si="5"/>
        <v>Jun-2024</v>
      </c>
    </row>
    <row r="163" spans="1:14" x14ac:dyDescent="0.3">
      <c r="A163">
        <v>10132</v>
      </c>
      <c r="B163" s="14" t="s">
        <v>140</v>
      </c>
      <c r="C163" t="s">
        <v>141</v>
      </c>
      <c r="D163" t="s">
        <v>142</v>
      </c>
      <c r="E163" t="s">
        <v>43</v>
      </c>
      <c r="F163" t="s">
        <v>56</v>
      </c>
      <c r="G163" t="s">
        <v>57</v>
      </c>
      <c r="H163">
        <v>7</v>
      </c>
      <c r="I163" s="15">
        <v>55</v>
      </c>
      <c r="J163" s="16">
        <v>0</v>
      </c>
      <c r="K163" s="15">
        <f t="shared" si="4"/>
        <v>385</v>
      </c>
      <c r="L163" s="15">
        <f>ROUND(K163*VLOOKUP(F163,Reference!$A$4:$B$7,2,FALSE()),2)</f>
        <v>84.7</v>
      </c>
      <c r="M163" t="s">
        <v>52</v>
      </c>
      <c r="N163" t="str">
        <f t="shared" si="5"/>
        <v>Jun-2024</v>
      </c>
    </row>
    <row r="164" spans="1:14" x14ac:dyDescent="0.3">
      <c r="A164">
        <v>10203</v>
      </c>
      <c r="B164" s="14" t="s">
        <v>507</v>
      </c>
      <c r="C164" t="s">
        <v>364</v>
      </c>
      <c r="D164" t="s">
        <v>508</v>
      </c>
      <c r="E164" t="s">
        <v>61</v>
      </c>
      <c r="F164" t="s">
        <v>56</v>
      </c>
      <c r="G164" t="s">
        <v>149</v>
      </c>
      <c r="H164">
        <v>10</v>
      </c>
      <c r="I164" s="15">
        <v>42</v>
      </c>
      <c r="J164" s="16">
        <v>0</v>
      </c>
      <c r="K164" s="15">
        <f t="shared" si="4"/>
        <v>420</v>
      </c>
      <c r="L164" s="15">
        <f>ROUND(K164*VLOOKUP(F164,Reference!$A$4:$B$7,2,FALSE()),2)</f>
        <v>92.4</v>
      </c>
      <c r="M164" t="s">
        <v>63</v>
      </c>
      <c r="N164" t="str">
        <f t="shared" si="5"/>
        <v>Jun-2024</v>
      </c>
    </row>
    <row r="165" spans="1:14" x14ac:dyDescent="0.3">
      <c r="A165">
        <v>10171</v>
      </c>
      <c r="B165" s="14" t="s">
        <v>507</v>
      </c>
      <c r="C165" t="s">
        <v>313</v>
      </c>
      <c r="D165" t="s">
        <v>162</v>
      </c>
      <c r="E165" t="s">
        <v>125</v>
      </c>
      <c r="F165" t="s">
        <v>75</v>
      </c>
      <c r="G165" t="s">
        <v>76</v>
      </c>
      <c r="H165">
        <v>9</v>
      </c>
      <c r="I165" s="15">
        <v>22</v>
      </c>
      <c r="J165" s="16">
        <v>0.15</v>
      </c>
      <c r="K165" s="15">
        <f t="shared" si="4"/>
        <v>168.3</v>
      </c>
      <c r="L165" s="15">
        <f>ROUND(K165*VLOOKUP(F165,Reference!$A$4:$B$7,2,FALSE()),2)</f>
        <v>47.12</v>
      </c>
      <c r="M165" t="s">
        <v>46</v>
      </c>
      <c r="N165" t="str">
        <f t="shared" si="5"/>
        <v>Jun-2024</v>
      </c>
    </row>
    <row r="166" spans="1:14" x14ac:dyDescent="0.3">
      <c r="A166">
        <v>10202</v>
      </c>
      <c r="B166" s="14" t="s">
        <v>272</v>
      </c>
      <c r="C166" t="s">
        <v>273</v>
      </c>
      <c r="D166" t="s">
        <v>274</v>
      </c>
      <c r="E166" t="s">
        <v>91</v>
      </c>
      <c r="F166" t="s">
        <v>44</v>
      </c>
      <c r="G166" t="s">
        <v>45</v>
      </c>
      <c r="H166">
        <v>4</v>
      </c>
      <c r="I166" s="15">
        <v>4.25</v>
      </c>
      <c r="J166" s="16">
        <v>0.2</v>
      </c>
      <c r="K166" s="15">
        <f t="shared" si="4"/>
        <v>13.6</v>
      </c>
      <c r="L166" s="15">
        <f>ROUND(K166*VLOOKUP(F166,Reference!$A$4:$B$7,2,FALSE()),2)</f>
        <v>4.76</v>
      </c>
      <c r="M166" t="s">
        <v>63</v>
      </c>
      <c r="N166" t="str">
        <f t="shared" si="5"/>
        <v>Jun-2024</v>
      </c>
    </row>
    <row r="167" spans="1:14" x14ac:dyDescent="0.3">
      <c r="A167">
        <v>10014</v>
      </c>
      <c r="B167" s="14" t="s">
        <v>542</v>
      </c>
      <c r="C167" t="s">
        <v>351</v>
      </c>
      <c r="D167" t="s">
        <v>544</v>
      </c>
      <c r="E167" t="s">
        <v>43</v>
      </c>
      <c r="F167" t="s">
        <v>44</v>
      </c>
      <c r="G167" t="s">
        <v>156</v>
      </c>
      <c r="H167">
        <v>3</v>
      </c>
      <c r="I167" s="15">
        <v>27</v>
      </c>
      <c r="J167" s="16">
        <v>0.25</v>
      </c>
      <c r="K167" s="15">
        <f t="shared" si="4"/>
        <v>60.75</v>
      </c>
      <c r="L167" s="15">
        <f>ROUND(K167*VLOOKUP(F167,Reference!$A$4:$B$7,2,FALSE()),2)</f>
        <v>21.26</v>
      </c>
      <c r="M167" t="s">
        <v>63</v>
      </c>
      <c r="N167" t="str">
        <f t="shared" si="5"/>
        <v>Jun-2024</v>
      </c>
    </row>
    <row r="168" spans="1:14" x14ac:dyDescent="0.3">
      <c r="A168">
        <v>10260</v>
      </c>
      <c r="B168" s="14" t="s">
        <v>542</v>
      </c>
      <c r="C168" t="s">
        <v>391</v>
      </c>
      <c r="D168" t="s">
        <v>610</v>
      </c>
      <c r="E168" t="s">
        <v>91</v>
      </c>
      <c r="F168" t="s">
        <v>56</v>
      </c>
      <c r="G168" t="s">
        <v>57</v>
      </c>
      <c r="H168">
        <v>1</v>
      </c>
      <c r="I168" s="15">
        <v>55</v>
      </c>
      <c r="J168" s="16">
        <v>0.1</v>
      </c>
      <c r="K168" s="15">
        <f t="shared" si="4"/>
        <v>49.5</v>
      </c>
      <c r="L168" s="15">
        <f>ROUND(K168*VLOOKUP(F168,Reference!$A$4:$B$7,2,FALSE()),2)</f>
        <v>10.89</v>
      </c>
      <c r="M168" t="s">
        <v>63</v>
      </c>
      <c r="N168" t="str">
        <f t="shared" si="5"/>
        <v>Jun-2024</v>
      </c>
    </row>
    <row r="169" spans="1:14" x14ac:dyDescent="0.3">
      <c r="A169">
        <v>10157</v>
      </c>
      <c r="B169" s="14" t="s">
        <v>542</v>
      </c>
      <c r="C169" t="s">
        <v>69</v>
      </c>
      <c r="D169" t="s">
        <v>256</v>
      </c>
      <c r="E169" t="s">
        <v>61</v>
      </c>
      <c r="F169" t="s">
        <v>50</v>
      </c>
      <c r="G169" t="s">
        <v>51</v>
      </c>
      <c r="H169">
        <v>3</v>
      </c>
      <c r="I169" s="15">
        <v>120</v>
      </c>
      <c r="J169" s="16">
        <v>0</v>
      </c>
      <c r="K169" s="15">
        <f t="shared" si="4"/>
        <v>360</v>
      </c>
      <c r="L169" s="15">
        <f>ROUND(K169*VLOOKUP(F169,Reference!$A$4:$B$7,2,FALSE()),2)</f>
        <v>64.8</v>
      </c>
      <c r="M169" t="s">
        <v>46</v>
      </c>
      <c r="N169" t="str">
        <f t="shared" si="5"/>
        <v>Jun-2024</v>
      </c>
    </row>
    <row r="170" spans="1:14" x14ac:dyDescent="0.3">
      <c r="A170">
        <v>10210</v>
      </c>
      <c r="B170" s="14" t="s">
        <v>491</v>
      </c>
      <c r="C170" t="s">
        <v>406</v>
      </c>
      <c r="D170" t="s">
        <v>183</v>
      </c>
      <c r="E170" t="s">
        <v>91</v>
      </c>
      <c r="F170" t="s">
        <v>44</v>
      </c>
      <c r="G170" t="s">
        <v>146</v>
      </c>
      <c r="H170">
        <v>10</v>
      </c>
      <c r="I170" s="15">
        <v>3.1</v>
      </c>
      <c r="J170" s="16">
        <v>0.25</v>
      </c>
      <c r="K170" s="15">
        <f t="shared" si="4"/>
        <v>23.25</v>
      </c>
      <c r="L170" s="15">
        <f>ROUND(K170*VLOOKUP(F170,Reference!$A$4:$B$7,2,FALSE()),2)</f>
        <v>8.14</v>
      </c>
      <c r="M170" t="s">
        <v>46</v>
      </c>
      <c r="N170" t="str">
        <f t="shared" si="5"/>
        <v>Jun-2024</v>
      </c>
    </row>
    <row r="171" spans="1:14" x14ac:dyDescent="0.3">
      <c r="A171">
        <v>10278</v>
      </c>
      <c r="B171" s="14" t="s">
        <v>480</v>
      </c>
      <c r="C171" t="s">
        <v>481</v>
      </c>
      <c r="D171" t="s">
        <v>482</v>
      </c>
      <c r="E171" t="s">
        <v>43</v>
      </c>
      <c r="F171" t="s">
        <v>56</v>
      </c>
      <c r="G171" t="s">
        <v>133</v>
      </c>
      <c r="H171">
        <v>5</v>
      </c>
      <c r="I171" s="15">
        <v>9.99</v>
      </c>
      <c r="J171" s="16">
        <v>0.2</v>
      </c>
      <c r="K171" s="15">
        <f t="shared" si="4"/>
        <v>39.96</v>
      </c>
      <c r="L171" s="15">
        <f>ROUND(K171*VLOOKUP(F171,Reference!$A$4:$B$7,2,FALSE()),2)</f>
        <v>8.7899999999999991</v>
      </c>
      <c r="M171" t="s">
        <v>46</v>
      </c>
      <c r="N171" t="str">
        <f t="shared" si="5"/>
        <v>Jun-2024</v>
      </c>
    </row>
    <row r="172" spans="1:14" x14ac:dyDescent="0.3">
      <c r="A172">
        <v>10098</v>
      </c>
      <c r="B172" s="14" t="s">
        <v>480</v>
      </c>
      <c r="C172" t="s">
        <v>241</v>
      </c>
      <c r="D172" t="s">
        <v>239</v>
      </c>
      <c r="E172" t="s">
        <v>74</v>
      </c>
      <c r="F172" t="s">
        <v>56</v>
      </c>
      <c r="G172" t="s">
        <v>366</v>
      </c>
      <c r="H172">
        <v>6</v>
      </c>
      <c r="I172" s="15">
        <v>38.5</v>
      </c>
      <c r="J172" s="16">
        <v>0.05</v>
      </c>
      <c r="K172" s="15">
        <f t="shared" si="4"/>
        <v>219.45</v>
      </c>
      <c r="L172" s="15">
        <f>ROUND(K172*VLOOKUP(F172,Reference!$A$4:$B$7,2,FALSE()),2)</f>
        <v>48.28</v>
      </c>
      <c r="M172" t="s">
        <v>52</v>
      </c>
      <c r="N172" t="str">
        <f t="shared" si="5"/>
        <v>Jun-2024</v>
      </c>
    </row>
    <row r="173" spans="1:14" x14ac:dyDescent="0.3">
      <c r="A173">
        <v>10005</v>
      </c>
      <c r="B173" s="14" t="s">
        <v>480</v>
      </c>
      <c r="C173" t="s">
        <v>164</v>
      </c>
      <c r="D173" t="s">
        <v>277</v>
      </c>
      <c r="E173" t="s">
        <v>91</v>
      </c>
      <c r="F173" t="s">
        <v>44</v>
      </c>
      <c r="G173" t="s">
        <v>67</v>
      </c>
      <c r="H173">
        <v>8</v>
      </c>
      <c r="I173" s="15">
        <v>5.5</v>
      </c>
      <c r="J173" s="16">
        <v>0</v>
      </c>
      <c r="K173" s="15">
        <f t="shared" si="4"/>
        <v>44</v>
      </c>
      <c r="L173" s="15">
        <f>ROUND(K173*VLOOKUP(F173,Reference!$A$4:$B$7,2,FALSE()),2)</f>
        <v>15.4</v>
      </c>
      <c r="M173" t="s">
        <v>46</v>
      </c>
      <c r="N173" t="str">
        <f t="shared" si="5"/>
        <v>Jun-2024</v>
      </c>
    </row>
    <row r="174" spans="1:14" x14ac:dyDescent="0.3">
      <c r="A174">
        <v>10234</v>
      </c>
      <c r="B174" s="14" t="s">
        <v>538</v>
      </c>
      <c r="C174" t="s">
        <v>330</v>
      </c>
      <c r="D174" t="s">
        <v>362</v>
      </c>
      <c r="E174" t="s">
        <v>125</v>
      </c>
      <c r="F174" t="s">
        <v>44</v>
      </c>
      <c r="G174" t="s">
        <v>45</v>
      </c>
      <c r="H174">
        <v>2</v>
      </c>
      <c r="I174" s="15">
        <v>4.25</v>
      </c>
      <c r="J174" s="16">
        <v>0</v>
      </c>
      <c r="K174" s="15">
        <f t="shared" si="4"/>
        <v>8.5</v>
      </c>
      <c r="L174" s="15">
        <f>ROUND(K174*VLOOKUP(F174,Reference!$A$4:$B$7,2,FALSE()),2)</f>
        <v>2.98</v>
      </c>
      <c r="M174" t="s">
        <v>63</v>
      </c>
      <c r="N174" t="str">
        <f t="shared" si="5"/>
        <v>Jun-2024</v>
      </c>
    </row>
    <row r="175" spans="1:14" x14ac:dyDescent="0.3">
      <c r="A175">
        <v>10294</v>
      </c>
      <c r="B175" s="14" t="s">
        <v>287</v>
      </c>
      <c r="C175" t="s">
        <v>174</v>
      </c>
      <c r="D175" t="s">
        <v>288</v>
      </c>
      <c r="E175" t="s">
        <v>43</v>
      </c>
      <c r="F175" t="s">
        <v>56</v>
      </c>
      <c r="G175" t="s">
        <v>133</v>
      </c>
      <c r="H175">
        <v>4</v>
      </c>
      <c r="I175" s="15">
        <v>9.99</v>
      </c>
      <c r="J175" s="16">
        <v>0.05</v>
      </c>
      <c r="K175" s="15">
        <f t="shared" si="4"/>
        <v>37.96</v>
      </c>
      <c r="L175" s="15">
        <f>ROUND(K175*VLOOKUP(F175,Reference!$A$4:$B$7,2,FALSE()),2)</f>
        <v>8.35</v>
      </c>
      <c r="M175" t="s">
        <v>46</v>
      </c>
      <c r="N175" t="str">
        <f t="shared" si="5"/>
        <v>Jun-2024</v>
      </c>
    </row>
    <row r="176" spans="1:14" x14ac:dyDescent="0.3">
      <c r="A176">
        <v>10090</v>
      </c>
      <c r="B176" s="14" t="s">
        <v>287</v>
      </c>
      <c r="C176" t="s">
        <v>321</v>
      </c>
      <c r="D176" t="s">
        <v>322</v>
      </c>
      <c r="E176" t="s">
        <v>61</v>
      </c>
      <c r="F176" t="s">
        <v>44</v>
      </c>
      <c r="G176" t="s">
        <v>146</v>
      </c>
      <c r="H176">
        <v>2</v>
      </c>
      <c r="I176" s="15">
        <v>3.1</v>
      </c>
      <c r="J176" s="16">
        <v>0</v>
      </c>
      <c r="K176" s="15">
        <f t="shared" si="4"/>
        <v>6.2</v>
      </c>
      <c r="L176" s="15">
        <f>ROUND(K176*VLOOKUP(F176,Reference!$A$4:$B$7,2,FALSE()),2)</f>
        <v>2.17</v>
      </c>
      <c r="M176" t="s">
        <v>46</v>
      </c>
      <c r="N176" t="str">
        <f t="shared" si="5"/>
        <v>Jun-2024</v>
      </c>
    </row>
    <row r="177" spans="1:14" x14ac:dyDescent="0.3">
      <c r="A177">
        <v>10346</v>
      </c>
      <c r="B177" s="14" t="s">
        <v>483</v>
      </c>
      <c r="C177" t="s">
        <v>484</v>
      </c>
      <c r="D177" t="s">
        <v>485</v>
      </c>
      <c r="E177" t="s">
        <v>125</v>
      </c>
      <c r="F177" t="s">
        <v>50</v>
      </c>
      <c r="G177" t="s">
        <v>51</v>
      </c>
      <c r="H177">
        <v>10</v>
      </c>
      <c r="I177" s="15">
        <v>120</v>
      </c>
      <c r="J177" s="16">
        <v>0.15</v>
      </c>
      <c r="K177" s="15">
        <f t="shared" si="4"/>
        <v>1020</v>
      </c>
      <c r="L177" s="15">
        <f>ROUND(K177*VLOOKUP(F177,Reference!$A$4:$B$7,2,FALSE()),2)</f>
        <v>183.6</v>
      </c>
      <c r="M177" t="s">
        <v>63</v>
      </c>
      <c r="N177" t="str">
        <f t="shared" si="5"/>
        <v>Jun-2024</v>
      </c>
    </row>
    <row r="178" spans="1:14" x14ac:dyDescent="0.3">
      <c r="A178">
        <v>10072</v>
      </c>
      <c r="B178" s="14" t="s">
        <v>483</v>
      </c>
      <c r="C178" t="s">
        <v>494</v>
      </c>
      <c r="D178" t="s">
        <v>152</v>
      </c>
      <c r="E178" t="s">
        <v>74</v>
      </c>
      <c r="F178" t="s">
        <v>44</v>
      </c>
      <c r="G178" t="s">
        <v>146</v>
      </c>
      <c r="H178">
        <v>10</v>
      </c>
      <c r="I178" s="15">
        <v>3.1</v>
      </c>
      <c r="J178" s="16">
        <v>0.1</v>
      </c>
      <c r="K178" s="15">
        <f t="shared" si="4"/>
        <v>27.9</v>
      </c>
      <c r="L178" s="15">
        <f>ROUND(K178*VLOOKUP(F178,Reference!$A$4:$B$7,2,FALSE()),2)</f>
        <v>9.77</v>
      </c>
      <c r="M178" t="s">
        <v>63</v>
      </c>
      <c r="N178" t="str">
        <f t="shared" si="5"/>
        <v>Jun-2024</v>
      </c>
    </row>
    <row r="179" spans="1:14" x14ac:dyDescent="0.3">
      <c r="A179">
        <v>10261</v>
      </c>
      <c r="B179" s="14" t="s">
        <v>365</v>
      </c>
      <c r="C179" t="s">
        <v>123</v>
      </c>
      <c r="D179" t="s">
        <v>142</v>
      </c>
      <c r="E179" t="s">
        <v>91</v>
      </c>
      <c r="F179" t="s">
        <v>56</v>
      </c>
      <c r="G179" t="s">
        <v>366</v>
      </c>
      <c r="H179">
        <v>3</v>
      </c>
      <c r="I179" s="15">
        <v>38.5</v>
      </c>
      <c r="J179" s="16">
        <v>0.2</v>
      </c>
      <c r="K179" s="15">
        <f t="shared" si="4"/>
        <v>92.4</v>
      </c>
      <c r="L179" s="15">
        <f>ROUND(K179*VLOOKUP(F179,Reference!$A$4:$B$7,2,FALSE()),2)</f>
        <v>20.329999999999998</v>
      </c>
      <c r="M179" t="s">
        <v>63</v>
      </c>
      <c r="N179" t="str">
        <f t="shared" si="5"/>
        <v>Jul-2024</v>
      </c>
    </row>
    <row r="180" spans="1:14" x14ac:dyDescent="0.3">
      <c r="A180">
        <v>10120</v>
      </c>
      <c r="B180" s="14" t="s">
        <v>53</v>
      </c>
      <c r="C180" t="s">
        <v>54</v>
      </c>
      <c r="D180" t="s">
        <v>55</v>
      </c>
      <c r="E180" t="s">
        <v>43</v>
      </c>
      <c r="F180" t="s">
        <v>56</v>
      </c>
      <c r="G180" t="s">
        <v>57</v>
      </c>
      <c r="H180">
        <v>4</v>
      </c>
      <c r="I180" s="15">
        <v>55</v>
      </c>
      <c r="J180" s="16">
        <v>0</v>
      </c>
      <c r="K180" s="15">
        <f t="shared" si="4"/>
        <v>220</v>
      </c>
      <c r="L180" s="15">
        <f>ROUND(K180*VLOOKUP(F180,Reference!$A$4:$B$7,2,FALSE()),2)</f>
        <v>48.4</v>
      </c>
      <c r="M180" t="s">
        <v>46</v>
      </c>
      <c r="N180" t="str">
        <f t="shared" si="5"/>
        <v>Jul-2024</v>
      </c>
    </row>
    <row r="181" spans="1:14" x14ac:dyDescent="0.3">
      <c r="A181">
        <v>10343</v>
      </c>
      <c r="B181" s="14" t="s">
        <v>53</v>
      </c>
      <c r="C181" t="s">
        <v>236</v>
      </c>
      <c r="D181" t="s">
        <v>211</v>
      </c>
      <c r="E181" t="s">
        <v>61</v>
      </c>
      <c r="F181" t="s">
        <v>56</v>
      </c>
      <c r="G181" t="s">
        <v>57</v>
      </c>
      <c r="H181">
        <v>10</v>
      </c>
      <c r="I181" s="15">
        <v>55</v>
      </c>
      <c r="J181" s="16">
        <v>0.15</v>
      </c>
      <c r="K181" s="15">
        <f t="shared" si="4"/>
        <v>467.5</v>
      </c>
      <c r="L181" s="15">
        <f>ROUND(K181*VLOOKUP(F181,Reference!$A$4:$B$7,2,FALSE()),2)</f>
        <v>102.85</v>
      </c>
      <c r="M181" t="s">
        <v>52</v>
      </c>
      <c r="N181" t="str">
        <f t="shared" si="5"/>
        <v>Jul-2024</v>
      </c>
    </row>
    <row r="182" spans="1:14" x14ac:dyDescent="0.3">
      <c r="A182">
        <v>10304</v>
      </c>
      <c r="B182" s="14" t="s">
        <v>71</v>
      </c>
      <c r="C182" t="s">
        <v>72</v>
      </c>
      <c r="D182" t="s">
        <v>73</v>
      </c>
      <c r="E182" t="s">
        <v>74</v>
      </c>
      <c r="F182" t="s">
        <v>75</v>
      </c>
      <c r="G182" t="s">
        <v>76</v>
      </c>
      <c r="H182">
        <v>3</v>
      </c>
      <c r="I182" s="15">
        <v>22</v>
      </c>
      <c r="J182" s="16">
        <v>0</v>
      </c>
      <c r="K182" s="15">
        <f t="shared" si="4"/>
        <v>66</v>
      </c>
      <c r="L182" s="15">
        <f>ROUND(K182*VLOOKUP(F182,Reference!$A$4:$B$7,2,FALSE()),2)</f>
        <v>18.48</v>
      </c>
      <c r="M182" t="s">
        <v>52</v>
      </c>
      <c r="N182" t="str">
        <f t="shared" si="5"/>
        <v>Jul-2024</v>
      </c>
    </row>
    <row r="183" spans="1:14" x14ac:dyDescent="0.3">
      <c r="A183">
        <v>10200</v>
      </c>
      <c r="B183" s="14" t="s">
        <v>249</v>
      </c>
      <c r="C183" t="s">
        <v>250</v>
      </c>
      <c r="D183" t="s">
        <v>139</v>
      </c>
      <c r="E183" t="s">
        <v>43</v>
      </c>
      <c r="F183" t="s">
        <v>56</v>
      </c>
      <c r="G183" t="s">
        <v>133</v>
      </c>
      <c r="H183">
        <v>10</v>
      </c>
      <c r="I183" s="15">
        <v>9.99</v>
      </c>
      <c r="J183" s="16">
        <v>0.05</v>
      </c>
      <c r="K183" s="15">
        <f t="shared" si="4"/>
        <v>94.91</v>
      </c>
      <c r="L183" s="15">
        <f>ROUND(K183*VLOOKUP(F183,Reference!$A$4:$B$7,2,FALSE()),2)</f>
        <v>20.88</v>
      </c>
      <c r="M183" t="s">
        <v>52</v>
      </c>
      <c r="N183" t="str">
        <f t="shared" si="5"/>
        <v>Jul-2024</v>
      </c>
    </row>
    <row r="184" spans="1:14" x14ac:dyDescent="0.3">
      <c r="A184">
        <v>10205</v>
      </c>
      <c r="B184" s="14" t="s">
        <v>176</v>
      </c>
      <c r="C184" t="s">
        <v>177</v>
      </c>
      <c r="D184" t="s">
        <v>178</v>
      </c>
      <c r="E184" t="s">
        <v>74</v>
      </c>
      <c r="F184" t="s">
        <v>75</v>
      </c>
      <c r="G184" t="s">
        <v>95</v>
      </c>
      <c r="H184">
        <v>10</v>
      </c>
      <c r="I184" s="15">
        <v>18.75</v>
      </c>
      <c r="J184" s="16">
        <v>0.1</v>
      </c>
      <c r="K184" s="15">
        <f t="shared" si="4"/>
        <v>168.75</v>
      </c>
      <c r="L184" s="15">
        <f>ROUND(K184*VLOOKUP(F184,Reference!$A$4:$B$7,2,FALSE()),2)</f>
        <v>47.25</v>
      </c>
      <c r="M184" t="s">
        <v>52</v>
      </c>
      <c r="N184" t="str">
        <f t="shared" si="5"/>
        <v>Jul-2024</v>
      </c>
    </row>
    <row r="185" spans="1:14" x14ac:dyDescent="0.3">
      <c r="A185">
        <v>10119</v>
      </c>
      <c r="B185" s="14" t="s">
        <v>127</v>
      </c>
      <c r="C185" t="s">
        <v>219</v>
      </c>
      <c r="D185" t="s">
        <v>345</v>
      </c>
      <c r="E185" t="s">
        <v>125</v>
      </c>
      <c r="F185" t="s">
        <v>56</v>
      </c>
      <c r="G185" t="s">
        <v>366</v>
      </c>
      <c r="H185">
        <v>4</v>
      </c>
      <c r="I185" s="15">
        <v>38.5</v>
      </c>
      <c r="J185" s="16">
        <v>0.15</v>
      </c>
      <c r="K185" s="15">
        <f t="shared" si="4"/>
        <v>130.9</v>
      </c>
      <c r="L185" s="15">
        <f>ROUND(K185*VLOOKUP(F185,Reference!$A$4:$B$7,2,FALSE()),2)</f>
        <v>28.8</v>
      </c>
      <c r="M185" t="s">
        <v>46</v>
      </c>
      <c r="N185" t="str">
        <f t="shared" si="5"/>
        <v>Jul-2024</v>
      </c>
    </row>
    <row r="186" spans="1:14" x14ac:dyDescent="0.3">
      <c r="A186">
        <v>10038</v>
      </c>
      <c r="B186" s="14" t="s">
        <v>127</v>
      </c>
      <c r="C186" t="s">
        <v>128</v>
      </c>
      <c r="D186" t="s">
        <v>129</v>
      </c>
      <c r="E186" t="s">
        <v>91</v>
      </c>
      <c r="F186" t="s">
        <v>50</v>
      </c>
      <c r="G186" t="s">
        <v>84</v>
      </c>
      <c r="H186">
        <v>3</v>
      </c>
      <c r="I186" s="15">
        <v>75.5</v>
      </c>
      <c r="J186" s="16">
        <v>0</v>
      </c>
      <c r="K186" s="15">
        <f t="shared" si="4"/>
        <v>226.5</v>
      </c>
      <c r="L186" s="15">
        <f>ROUND(K186*VLOOKUP(F186,Reference!$A$4:$B$7,2,FALSE()),2)</f>
        <v>40.770000000000003</v>
      </c>
      <c r="M186" t="s">
        <v>63</v>
      </c>
      <c r="N186" t="str">
        <f t="shared" si="5"/>
        <v>Jul-2024</v>
      </c>
    </row>
    <row r="187" spans="1:14" x14ac:dyDescent="0.3">
      <c r="A187">
        <v>10153</v>
      </c>
      <c r="B187" s="14" t="s">
        <v>147</v>
      </c>
      <c r="C187" t="s">
        <v>488</v>
      </c>
      <c r="D187" t="s">
        <v>424</v>
      </c>
      <c r="E187" t="s">
        <v>74</v>
      </c>
      <c r="F187" t="s">
        <v>56</v>
      </c>
      <c r="G187" t="s">
        <v>366</v>
      </c>
      <c r="H187">
        <v>6</v>
      </c>
      <c r="I187" s="15">
        <v>38.5</v>
      </c>
      <c r="J187" s="16">
        <v>0</v>
      </c>
      <c r="K187" s="15">
        <f t="shared" si="4"/>
        <v>231</v>
      </c>
      <c r="L187" s="15">
        <f>ROUND(K187*VLOOKUP(F187,Reference!$A$4:$B$7,2,FALSE()),2)</f>
        <v>50.82</v>
      </c>
      <c r="M187" t="s">
        <v>52</v>
      </c>
      <c r="N187" t="str">
        <f t="shared" si="5"/>
        <v>Jul-2024</v>
      </c>
    </row>
    <row r="188" spans="1:14" x14ac:dyDescent="0.3">
      <c r="A188">
        <v>10379</v>
      </c>
      <c r="B188" s="14" t="s">
        <v>147</v>
      </c>
      <c r="C188" t="s">
        <v>65</v>
      </c>
      <c r="D188" t="s">
        <v>148</v>
      </c>
      <c r="E188" t="s">
        <v>61</v>
      </c>
      <c r="F188" t="s">
        <v>56</v>
      </c>
      <c r="G188" t="s">
        <v>149</v>
      </c>
      <c r="H188">
        <v>8</v>
      </c>
      <c r="I188" s="15">
        <v>42</v>
      </c>
      <c r="J188" s="16">
        <v>0.15</v>
      </c>
      <c r="K188" s="15">
        <f t="shared" si="4"/>
        <v>285.60000000000002</v>
      </c>
      <c r="L188" s="15">
        <f>ROUND(K188*VLOOKUP(F188,Reference!$A$4:$B$7,2,FALSE()),2)</f>
        <v>62.83</v>
      </c>
      <c r="M188" t="s">
        <v>52</v>
      </c>
      <c r="N188" t="str">
        <f t="shared" si="5"/>
        <v>Jul-2024</v>
      </c>
    </row>
    <row r="189" spans="1:14" x14ac:dyDescent="0.3">
      <c r="A189">
        <v>10254</v>
      </c>
      <c r="B189" s="14" t="s">
        <v>359</v>
      </c>
      <c r="C189" t="s">
        <v>360</v>
      </c>
      <c r="D189" t="s">
        <v>343</v>
      </c>
      <c r="E189" t="s">
        <v>61</v>
      </c>
      <c r="F189" t="s">
        <v>56</v>
      </c>
      <c r="G189" t="s">
        <v>217</v>
      </c>
      <c r="H189">
        <v>4</v>
      </c>
      <c r="I189" s="15">
        <v>8</v>
      </c>
      <c r="J189" s="16">
        <v>0.05</v>
      </c>
      <c r="K189" s="15">
        <f t="shared" si="4"/>
        <v>30.4</v>
      </c>
      <c r="L189" s="15">
        <f>ROUND(K189*VLOOKUP(F189,Reference!$A$4:$B$7,2,FALSE()),2)</f>
        <v>6.69</v>
      </c>
      <c r="M189" t="s">
        <v>63</v>
      </c>
      <c r="N189" t="str">
        <f t="shared" si="5"/>
        <v>Jul-2024</v>
      </c>
    </row>
    <row r="190" spans="1:14" x14ac:dyDescent="0.3">
      <c r="A190">
        <v>10232</v>
      </c>
      <c r="B190" s="14" t="s">
        <v>567</v>
      </c>
      <c r="C190" t="s">
        <v>564</v>
      </c>
      <c r="D190" t="s">
        <v>175</v>
      </c>
      <c r="E190" t="s">
        <v>43</v>
      </c>
      <c r="F190" t="s">
        <v>50</v>
      </c>
      <c r="G190" t="s">
        <v>62</v>
      </c>
      <c r="H190">
        <v>2</v>
      </c>
      <c r="I190" s="15">
        <v>65</v>
      </c>
      <c r="J190" s="16">
        <v>0</v>
      </c>
      <c r="K190" s="15">
        <f t="shared" si="4"/>
        <v>130</v>
      </c>
      <c r="L190" s="15">
        <f>ROUND(K190*VLOOKUP(F190,Reference!$A$4:$B$7,2,FALSE()),2)</f>
        <v>23.4</v>
      </c>
      <c r="M190" t="s">
        <v>63</v>
      </c>
      <c r="N190" t="str">
        <f t="shared" si="5"/>
        <v>Jul-2024</v>
      </c>
    </row>
    <row r="191" spans="1:14" x14ac:dyDescent="0.3">
      <c r="A191">
        <v>10356</v>
      </c>
      <c r="B191" s="14" t="s">
        <v>342</v>
      </c>
      <c r="C191" t="s">
        <v>158</v>
      </c>
      <c r="D191" t="s">
        <v>343</v>
      </c>
      <c r="E191" t="s">
        <v>74</v>
      </c>
      <c r="F191" t="s">
        <v>56</v>
      </c>
      <c r="G191" t="s">
        <v>133</v>
      </c>
      <c r="H191">
        <v>8</v>
      </c>
      <c r="I191" s="15">
        <v>9.99</v>
      </c>
      <c r="J191" s="16">
        <v>0.05</v>
      </c>
      <c r="K191" s="15">
        <f t="shared" si="4"/>
        <v>75.92</v>
      </c>
      <c r="L191" s="15">
        <f>ROUND(K191*VLOOKUP(F191,Reference!$A$4:$B$7,2,FALSE()),2)</f>
        <v>16.7</v>
      </c>
      <c r="M191" t="s">
        <v>52</v>
      </c>
      <c r="N191" t="str">
        <f t="shared" si="5"/>
        <v>Jul-2024</v>
      </c>
    </row>
    <row r="192" spans="1:14" x14ac:dyDescent="0.3">
      <c r="A192">
        <v>10245</v>
      </c>
      <c r="B192" s="14" t="s">
        <v>218</v>
      </c>
      <c r="C192" t="s">
        <v>111</v>
      </c>
      <c r="D192" t="s">
        <v>112</v>
      </c>
      <c r="E192" t="s">
        <v>61</v>
      </c>
      <c r="F192" t="s">
        <v>44</v>
      </c>
      <c r="G192" t="s">
        <v>146</v>
      </c>
      <c r="H192">
        <v>5</v>
      </c>
      <c r="I192" s="15">
        <v>3.1</v>
      </c>
      <c r="J192" s="16">
        <v>0.15</v>
      </c>
      <c r="K192" s="15">
        <f t="shared" si="4"/>
        <v>13.18</v>
      </c>
      <c r="L192" s="15">
        <f>ROUND(K192*VLOOKUP(F192,Reference!$A$4:$B$7,2,FALSE()),2)</f>
        <v>4.6100000000000003</v>
      </c>
      <c r="M192" t="s">
        <v>63</v>
      </c>
      <c r="N192" t="str">
        <f t="shared" si="5"/>
        <v>Jul-2024</v>
      </c>
    </row>
    <row r="193" spans="1:14" x14ac:dyDescent="0.3">
      <c r="A193">
        <v>10269</v>
      </c>
      <c r="B193" s="14" t="s">
        <v>218</v>
      </c>
      <c r="C193" t="s">
        <v>219</v>
      </c>
      <c r="D193" t="s">
        <v>220</v>
      </c>
      <c r="E193" t="s">
        <v>74</v>
      </c>
      <c r="F193" t="s">
        <v>56</v>
      </c>
      <c r="G193" t="s">
        <v>57</v>
      </c>
      <c r="H193">
        <v>7</v>
      </c>
      <c r="I193" s="15">
        <v>55</v>
      </c>
      <c r="J193" s="16">
        <v>0</v>
      </c>
      <c r="K193" s="15">
        <f t="shared" si="4"/>
        <v>385</v>
      </c>
      <c r="L193" s="15">
        <f>ROUND(K193*VLOOKUP(F193,Reference!$A$4:$B$7,2,FALSE()),2)</f>
        <v>84.7</v>
      </c>
      <c r="M193" t="s">
        <v>52</v>
      </c>
      <c r="N193" t="str">
        <f t="shared" si="5"/>
        <v>Jul-2024</v>
      </c>
    </row>
    <row r="194" spans="1:14" x14ac:dyDescent="0.3">
      <c r="A194">
        <v>10340</v>
      </c>
      <c r="B194" s="14" t="s">
        <v>58</v>
      </c>
      <c r="C194" t="s">
        <v>59</v>
      </c>
      <c r="D194" t="s">
        <v>60</v>
      </c>
      <c r="E194" t="s">
        <v>61</v>
      </c>
      <c r="F194" t="s">
        <v>50</v>
      </c>
      <c r="G194" t="s">
        <v>62</v>
      </c>
      <c r="H194">
        <v>4</v>
      </c>
      <c r="I194" s="15">
        <v>65</v>
      </c>
      <c r="J194" s="16">
        <v>0</v>
      </c>
      <c r="K194" s="15">
        <f t="shared" si="4"/>
        <v>260</v>
      </c>
      <c r="L194" s="15">
        <f>ROUND(K194*VLOOKUP(F194,Reference!$A$4:$B$7,2,FALSE()),2)</f>
        <v>46.8</v>
      </c>
      <c r="M194" t="s">
        <v>63</v>
      </c>
      <c r="N194" t="str">
        <f t="shared" si="5"/>
        <v>Jul-2024</v>
      </c>
    </row>
    <row r="195" spans="1:14" x14ac:dyDescent="0.3">
      <c r="A195">
        <v>10164</v>
      </c>
      <c r="B195" s="14" t="s">
        <v>625</v>
      </c>
      <c r="C195" t="s">
        <v>351</v>
      </c>
      <c r="D195" t="s">
        <v>302</v>
      </c>
      <c r="E195" t="s">
        <v>43</v>
      </c>
      <c r="F195" t="s">
        <v>44</v>
      </c>
      <c r="G195" t="s">
        <v>45</v>
      </c>
      <c r="H195">
        <v>1</v>
      </c>
      <c r="I195" s="15">
        <v>4.25</v>
      </c>
      <c r="J195" s="16">
        <v>0.15</v>
      </c>
      <c r="K195" s="15">
        <f t="shared" si="4"/>
        <v>3.61</v>
      </c>
      <c r="L195" s="15">
        <f>ROUND(K195*VLOOKUP(F195,Reference!$A$4:$B$7,2,FALSE()),2)</f>
        <v>1.26</v>
      </c>
      <c r="M195" t="s">
        <v>63</v>
      </c>
      <c r="N195" t="str">
        <f t="shared" si="5"/>
        <v>Jul-2024</v>
      </c>
    </row>
    <row r="196" spans="1:14" x14ac:dyDescent="0.3">
      <c r="A196">
        <v>10170</v>
      </c>
      <c r="B196" s="14" t="s">
        <v>597</v>
      </c>
      <c r="C196" t="s">
        <v>450</v>
      </c>
      <c r="D196" t="s">
        <v>598</v>
      </c>
      <c r="E196" t="s">
        <v>74</v>
      </c>
      <c r="F196" t="s">
        <v>44</v>
      </c>
      <c r="G196" t="s">
        <v>67</v>
      </c>
      <c r="H196">
        <v>6</v>
      </c>
      <c r="I196" s="15">
        <v>5.5</v>
      </c>
      <c r="J196" s="16">
        <v>0</v>
      </c>
      <c r="K196" s="15">
        <f t="shared" ref="K196:K259" si="6">ROUND(H196*I196*(1-J196),2)</f>
        <v>33</v>
      </c>
      <c r="L196" s="15">
        <f>ROUND(K196*VLOOKUP(F196,Reference!$A$4:$B$7,2,FALSE()),2)</f>
        <v>11.55</v>
      </c>
      <c r="M196" t="s">
        <v>46</v>
      </c>
      <c r="N196" t="str">
        <f t="shared" ref="N196:N259" si="7">TEXT(B196,"mmm-yyyy")</f>
        <v>Jul-2024</v>
      </c>
    </row>
    <row r="197" spans="1:14" x14ac:dyDescent="0.3">
      <c r="A197">
        <v>10312</v>
      </c>
      <c r="B197" s="14" t="s">
        <v>432</v>
      </c>
      <c r="C197" t="s">
        <v>385</v>
      </c>
      <c r="D197" t="s">
        <v>433</v>
      </c>
      <c r="E197" t="s">
        <v>74</v>
      </c>
      <c r="F197" t="s">
        <v>75</v>
      </c>
      <c r="G197" t="s">
        <v>202</v>
      </c>
      <c r="H197">
        <v>8</v>
      </c>
      <c r="I197" s="15">
        <v>34.5</v>
      </c>
      <c r="J197" s="16">
        <v>0.2</v>
      </c>
      <c r="K197" s="15">
        <f t="shared" si="6"/>
        <v>220.8</v>
      </c>
      <c r="L197" s="15">
        <f>ROUND(K197*VLOOKUP(F197,Reference!$A$4:$B$7,2,FALSE()),2)</f>
        <v>61.82</v>
      </c>
      <c r="M197" t="s">
        <v>63</v>
      </c>
      <c r="N197" t="str">
        <f t="shared" si="7"/>
        <v>Jul-2024</v>
      </c>
    </row>
    <row r="198" spans="1:14" x14ac:dyDescent="0.3">
      <c r="A198">
        <v>10298</v>
      </c>
      <c r="B198" s="14" t="s">
        <v>460</v>
      </c>
      <c r="C198" t="s">
        <v>82</v>
      </c>
      <c r="D198" t="s">
        <v>482</v>
      </c>
      <c r="E198" t="s">
        <v>61</v>
      </c>
      <c r="F198" t="s">
        <v>50</v>
      </c>
      <c r="G198" t="s">
        <v>99</v>
      </c>
      <c r="H198">
        <v>5</v>
      </c>
      <c r="I198" s="15">
        <v>15</v>
      </c>
      <c r="J198" s="16">
        <v>0.2</v>
      </c>
      <c r="K198" s="15">
        <f t="shared" si="6"/>
        <v>60</v>
      </c>
      <c r="L198" s="15">
        <f>ROUND(K198*VLOOKUP(F198,Reference!$A$4:$B$7,2,FALSE()),2)</f>
        <v>10.8</v>
      </c>
      <c r="M198" t="s">
        <v>52</v>
      </c>
      <c r="N198" t="str">
        <f t="shared" si="7"/>
        <v>Jul-2024</v>
      </c>
    </row>
    <row r="199" spans="1:14" x14ac:dyDescent="0.3">
      <c r="A199">
        <v>10145</v>
      </c>
      <c r="B199" s="14" t="s">
        <v>254</v>
      </c>
      <c r="C199" t="s">
        <v>255</v>
      </c>
      <c r="D199" t="s">
        <v>256</v>
      </c>
      <c r="E199" t="s">
        <v>74</v>
      </c>
      <c r="F199" t="s">
        <v>44</v>
      </c>
      <c r="G199" t="s">
        <v>45</v>
      </c>
      <c r="H199">
        <v>6</v>
      </c>
      <c r="I199" s="15">
        <v>4.25</v>
      </c>
      <c r="J199" s="16">
        <v>0</v>
      </c>
      <c r="K199" s="15">
        <f t="shared" si="6"/>
        <v>25.5</v>
      </c>
      <c r="L199" s="15">
        <f>ROUND(K199*VLOOKUP(F199,Reference!$A$4:$B$7,2,FALSE()),2)</f>
        <v>8.93</v>
      </c>
      <c r="M199" t="s">
        <v>46</v>
      </c>
      <c r="N199" t="str">
        <f t="shared" si="7"/>
        <v>Jul-2024</v>
      </c>
    </row>
    <row r="200" spans="1:14" x14ac:dyDescent="0.3">
      <c r="A200">
        <v>10315</v>
      </c>
      <c r="B200" s="14" t="s">
        <v>533</v>
      </c>
      <c r="C200" t="s">
        <v>355</v>
      </c>
      <c r="D200" t="s">
        <v>534</v>
      </c>
      <c r="E200" t="s">
        <v>91</v>
      </c>
      <c r="F200" t="s">
        <v>44</v>
      </c>
      <c r="G200" t="s">
        <v>106</v>
      </c>
      <c r="H200">
        <v>7</v>
      </c>
      <c r="I200" s="15">
        <v>6.75</v>
      </c>
      <c r="J200" s="16">
        <v>0.2</v>
      </c>
      <c r="K200" s="15">
        <f t="shared" si="6"/>
        <v>37.799999999999997</v>
      </c>
      <c r="L200" s="15">
        <f>ROUND(K200*VLOOKUP(F200,Reference!$A$4:$B$7,2,FALSE()),2)</f>
        <v>13.23</v>
      </c>
      <c r="M200" t="s">
        <v>46</v>
      </c>
      <c r="N200" t="str">
        <f t="shared" si="7"/>
        <v>Jul-2024</v>
      </c>
    </row>
    <row r="201" spans="1:14" x14ac:dyDescent="0.3">
      <c r="A201">
        <v>10091</v>
      </c>
      <c r="B201" s="14" t="s">
        <v>571</v>
      </c>
      <c r="C201" t="s">
        <v>572</v>
      </c>
      <c r="D201" t="s">
        <v>326</v>
      </c>
      <c r="E201" t="s">
        <v>91</v>
      </c>
      <c r="F201" t="s">
        <v>75</v>
      </c>
      <c r="G201" t="s">
        <v>95</v>
      </c>
      <c r="H201">
        <v>2</v>
      </c>
      <c r="I201" s="15">
        <v>18.75</v>
      </c>
      <c r="J201" s="16">
        <v>0.15</v>
      </c>
      <c r="K201" s="15">
        <f t="shared" si="6"/>
        <v>31.88</v>
      </c>
      <c r="L201" s="15">
        <f>ROUND(K201*VLOOKUP(F201,Reference!$A$4:$B$7,2,FALSE()),2)</f>
        <v>8.93</v>
      </c>
      <c r="M201" t="s">
        <v>46</v>
      </c>
      <c r="N201" t="str">
        <f t="shared" si="7"/>
        <v>Jul-2024</v>
      </c>
    </row>
    <row r="202" spans="1:14" x14ac:dyDescent="0.3">
      <c r="A202">
        <v>10087</v>
      </c>
      <c r="B202" s="14" t="s">
        <v>565</v>
      </c>
      <c r="C202" t="s">
        <v>358</v>
      </c>
      <c r="D202" t="s">
        <v>566</v>
      </c>
      <c r="E202" t="s">
        <v>74</v>
      </c>
      <c r="F202" t="s">
        <v>56</v>
      </c>
      <c r="G202" t="s">
        <v>366</v>
      </c>
      <c r="H202">
        <v>2</v>
      </c>
      <c r="I202" s="15">
        <v>38.5</v>
      </c>
      <c r="J202" s="16">
        <v>0</v>
      </c>
      <c r="K202" s="15">
        <f t="shared" si="6"/>
        <v>77</v>
      </c>
      <c r="L202" s="15">
        <f>ROUND(K202*VLOOKUP(F202,Reference!$A$4:$B$7,2,FALSE()),2)</f>
        <v>16.940000000000001</v>
      </c>
      <c r="M202" t="s">
        <v>52</v>
      </c>
      <c r="N202" t="str">
        <f t="shared" si="7"/>
        <v>Jul-2024</v>
      </c>
    </row>
    <row r="203" spans="1:14" x14ac:dyDescent="0.3">
      <c r="A203">
        <v>10255</v>
      </c>
      <c r="B203" s="14" t="s">
        <v>623</v>
      </c>
      <c r="C203" t="s">
        <v>436</v>
      </c>
      <c r="D203" t="s">
        <v>235</v>
      </c>
      <c r="E203" t="s">
        <v>61</v>
      </c>
      <c r="F203" t="s">
        <v>56</v>
      </c>
      <c r="G203" t="s">
        <v>217</v>
      </c>
      <c r="H203">
        <v>8</v>
      </c>
      <c r="I203" s="15">
        <v>8</v>
      </c>
      <c r="J203" s="16">
        <v>0</v>
      </c>
      <c r="K203" s="15">
        <f t="shared" si="6"/>
        <v>64</v>
      </c>
      <c r="L203" s="15">
        <f>ROUND(K203*VLOOKUP(F203,Reference!$A$4:$B$7,2,FALSE()),2)</f>
        <v>14.08</v>
      </c>
      <c r="M203" t="s">
        <v>52</v>
      </c>
      <c r="N203" t="str">
        <f t="shared" si="7"/>
        <v>Jul-2024</v>
      </c>
    </row>
    <row r="204" spans="1:14" x14ac:dyDescent="0.3">
      <c r="A204">
        <v>10187</v>
      </c>
      <c r="B204" s="14" t="s">
        <v>518</v>
      </c>
      <c r="C204" t="s">
        <v>519</v>
      </c>
      <c r="D204" t="s">
        <v>198</v>
      </c>
      <c r="E204" t="s">
        <v>91</v>
      </c>
      <c r="F204" t="s">
        <v>75</v>
      </c>
      <c r="G204" t="s">
        <v>202</v>
      </c>
      <c r="H204">
        <v>6</v>
      </c>
      <c r="I204" s="15">
        <v>34.5</v>
      </c>
      <c r="J204" s="16">
        <v>0</v>
      </c>
      <c r="K204" s="15">
        <f t="shared" si="6"/>
        <v>207</v>
      </c>
      <c r="L204" s="15">
        <f>ROUND(K204*VLOOKUP(F204,Reference!$A$4:$B$7,2,FALSE()),2)</f>
        <v>57.96</v>
      </c>
      <c r="M204" t="s">
        <v>63</v>
      </c>
      <c r="N204" t="str">
        <f t="shared" si="7"/>
        <v>Jul-2024</v>
      </c>
    </row>
    <row r="205" spans="1:14" x14ac:dyDescent="0.3">
      <c r="A205">
        <v>10297</v>
      </c>
      <c r="B205" s="14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>
        <v>3</v>
      </c>
      <c r="I205" s="15">
        <v>4.25</v>
      </c>
      <c r="J205" s="16">
        <v>0.05</v>
      </c>
      <c r="K205" s="15">
        <f t="shared" si="6"/>
        <v>12.11</v>
      </c>
      <c r="L205" s="15">
        <f>ROUND(K205*VLOOKUP(F205,Reference!$A$4:$B$7,2,FALSE()),2)</f>
        <v>4.24</v>
      </c>
      <c r="M205" t="s">
        <v>46</v>
      </c>
      <c r="N205" t="str">
        <f t="shared" si="7"/>
        <v>Jul-2024</v>
      </c>
    </row>
    <row r="206" spans="1:14" x14ac:dyDescent="0.3">
      <c r="A206">
        <v>10208</v>
      </c>
      <c r="B206" s="14" t="s">
        <v>573</v>
      </c>
      <c r="C206" t="s">
        <v>521</v>
      </c>
      <c r="D206" t="s">
        <v>338</v>
      </c>
      <c r="E206" t="s">
        <v>125</v>
      </c>
      <c r="F206" t="s">
        <v>56</v>
      </c>
      <c r="G206" t="s">
        <v>217</v>
      </c>
      <c r="H206">
        <v>10</v>
      </c>
      <c r="I206" s="15">
        <v>8</v>
      </c>
      <c r="J206" s="16">
        <v>0.25</v>
      </c>
      <c r="K206" s="15">
        <f t="shared" si="6"/>
        <v>60</v>
      </c>
      <c r="L206" s="15">
        <f>ROUND(K206*VLOOKUP(F206,Reference!$A$4:$B$7,2,FALSE()),2)</f>
        <v>13.2</v>
      </c>
      <c r="M206" t="s">
        <v>46</v>
      </c>
      <c r="N206" t="str">
        <f t="shared" si="7"/>
        <v>Jul-2024</v>
      </c>
    </row>
    <row r="207" spans="1:14" x14ac:dyDescent="0.3">
      <c r="A207">
        <v>10250</v>
      </c>
      <c r="B207" s="14" t="s">
        <v>573</v>
      </c>
      <c r="C207" t="s">
        <v>574</v>
      </c>
      <c r="D207" t="s">
        <v>261</v>
      </c>
      <c r="E207" t="s">
        <v>125</v>
      </c>
      <c r="F207" t="s">
        <v>50</v>
      </c>
      <c r="G207" t="s">
        <v>80</v>
      </c>
      <c r="H207">
        <v>3</v>
      </c>
      <c r="I207" s="15">
        <v>89</v>
      </c>
      <c r="J207" s="16">
        <v>0</v>
      </c>
      <c r="K207" s="15">
        <f t="shared" si="6"/>
        <v>267</v>
      </c>
      <c r="L207" s="15">
        <f>ROUND(K207*VLOOKUP(F207,Reference!$A$4:$B$7,2,FALSE()),2)</f>
        <v>48.06</v>
      </c>
      <c r="M207" t="s">
        <v>63</v>
      </c>
      <c r="N207" t="str">
        <f t="shared" si="7"/>
        <v>Jul-2024</v>
      </c>
    </row>
    <row r="208" spans="1:14" x14ac:dyDescent="0.3">
      <c r="A208">
        <v>10238</v>
      </c>
      <c r="B208" s="14" t="s">
        <v>573</v>
      </c>
      <c r="C208" t="s">
        <v>595</v>
      </c>
      <c r="D208" t="s">
        <v>550</v>
      </c>
      <c r="E208" t="s">
        <v>74</v>
      </c>
      <c r="F208" t="s">
        <v>44</v>
      </c>
      <c r="G208" t="s">
        <v>67</v>
      </c>
      <c r="H208">
        <v>9</v>
      </c>
      <c r="I208" s="15">
        <v>5.5</v>
      </c>
      <c r="J208" s="16">
        <v>0</v>
      </c>
      <c r="K208" s="15">
        <f t="shared" si="6"/>
        <v>49.5</v>
      </c>
      <c r="L208" s="15">
        <f>ROUND(K208*VLOOKUP(F208,Reference!$A$4:$B$7,2,FALSE()),2)</f>
        <v>17.329999999999998</v>
      </c>
      <c r="M208" t="s">
        <v>52</v>
      </c>
      <c r="N208" t="str">
        <f t="shared" si="7"/>
        <v>Jul-2024</v>
      </c>
    </row>
    <row r="209" spans="1:14" x14ac:dyDescent="0.3">
      <c r="A209">
        <v>10194</v>
      </c>
      <c r="B209" s="14" t="s">
        <v>409</v>
      </c>
      <c r="C209" t="s">
        <v>410</v>
      </c>
      <c r="D209" t="s">
        <v>115</v>
      </c>
      <c r="E209" t="s">
        <v>61</v>
      </c>
      <c r="F209" t="s">
        <v>56</v>
      </c>
      <c r="G209" t="s">
        <v>149</v>
      </c>
      <c r="H209">
        <v>6</v>
      </c>
      <c r="I209" s="15">
        <v>42</v>
      </c>
      <c r="J209" s="16">
        <v>0</v>
      </c>
      <c r="K209" s="15">
        <f t="shared" si="6"/>
        <v>252</v>
      </c>
      <c r="L209" s="15">
        <f>ROUND(K209*VLOOKUP(F209,Reference!$A$4:$B$7,2,FALSE()),2)</f>
        <v>55.44</v>
      </c>
      <c r="M209" t="s">
        <v>52</v>
      </c>
      <c r="N209" t="str">
        <f t="shared" si="7"/>
        <v>Jul-2024</v>
      </c>
    </row>
    <row r="210" spans="1:14" x14ac:dyDescent="0.3">
      <c r="A210">
        <v>10241</v>
      </c>
      <c r="B210" s="14" t="s">
        <v>593</v>
      </c>
      <c r="C210" t="s">
        <v>572</v>
      </c>
      <c r="D210" t="s">
        <v>224</v>
      </c>
      <c r="E210" t="s">
        <v>91</v>
      </c>
      <c r="F210" t="s">
        <v>50</v>
      </c>
      <c r="G210" t="s">
        <v>84</v>
      </c>
      <c r="H210">
        <v>4</v>
      </c>
      <c r="I210" s="15">
        <v>75.5</v>
      </c>
      <c r="J210" s="16">
        <v>0.1</v>
      </c>
      <c r="K210" s="15">
        <f t="shared" si="6"/>
        <v>271.8</v>
      </c>
      <c r="L210" s="15">
        <f>ROUND(K210*VLOOKUP(F210,Reference!$A$4:$B$7,2,FALSE()),2)</f>
        <v>48.92</v>
      </c>
      <c r="M210" t="s">
        <v>52</v>
      </c>
      <c r="N210" t="str">
        <f t="shared" si="7"/>
        <v>Aug-2024</v>
      </c>
    </row>
    <row r="211" spans="1:14" x14ac:dyDescent="0.3">
      <c r="A211">
        <v>10059</v>
      </c>
      <c r="B211" s="14" t="s">
        <v>522</v>
      </c>
      <c r="C211" t="s">
        <v>161</v>
      </c>
      <c r="D211" t="s">
        <v>523</v>
      </c>
      <c r="E211" t="s">
        <v>91</v>
      </c>
      <c r="F211" t="s">
        <v>50</v>
      </c>
      <c r="G211" t="s">
        <v>84</v>
      </c>
      <c r="H211">
        <v>4</v>
      </c>
      <c r="I211" s="15">
        <v>75.5</v>
      </c>
      <c r="J211" s="16">
        <v>0.1</v>
      </c>
      <c r="K211" s="15">
        <f t="shared" si="6"/>
        <v>271.8</v>
      </c>
      <c r="L211" s="15">
        <f>ROUND(K211*VLOOKUP(F211,Reference!$A$4:$B$7,2,FALSE()),2)</f>
        <v>48.92</v>
      </c>
      <c r="M211" t="s">
        <v>52</v>
      </c>
      <c r="N211" t="str">
        <f t="shared" si="7"/>
        <v>Aug-2024</v>
      </c>
    </row>
    <row r="212" spans="1:14" x14ac:dyDescent="0.3">
      <c r="A212">
        <v>10058</v>
      </c>
      <c r="B212" s="14" t="s">
        <v>520</v>
      </c>
      <c r="C212" t="s">
        <v>521</v>
      </c>
      <c r="D212" t="s">
        <v>253</v>
      </c>
      <c r="E212" t="s">
        <v>61</v>
      </c>
      <c r="F212" t="s">
        <v>75</v>
      </c>
      <c r="G212" t="s">
        <v>303</v>
      </c>
      <c r="H212">
        <v>7</v>
      </c>
      <c r="I212" s="15">
        <v>29.99</v>
      </c>
      <c r="J212" s="16">
        <v>0.25</v>
      </c>
      <c r="K212" s="15">
        <f t="shared" si="6"/>
        <v>157.44999999999999</v>
      </c>
      <c r="L212" s="15">
        <f>ROUND(K212*VLOOKUP(F212,Reference!$A$4:$B$7,2,FALSE()),2)</f>
        <v>44.09</v>
      </c>
      <c r="M212" t="s">
        <v>52</v>
      </c>
      <c r="N212" t="str">
        <f t="shared" si="7"/>
        <v>Aug-2024</v>
      </c>
    </row>
    <row r="213" spans="1:14" x14ac:dyDescent="0.3">
      <c r="A213">
        <v>10023</v>
      </c>
      <c r="B213" s="14" t="s">
        <v>422</v>
      </c>
      <c r="C213" t="s">
        <v>423</v>
      </c>
      <c r="D213" t="s">
        <v>424</v>
      </c>
      <c r="E213" t="s">
        <v>61</v>
      </c>
      <c r="F213" t="s">
        <v>56</v>
      </c>
      <c r="G213" t="s">
        <v>133</v>
      </c>
      <c r="H213">
        <v>2</v>
      </c>
      <c r="I213" s="15">
        <v>9.99</v>
      </c>
      <c r="J213" s="16">
        <v>0</v>
      </c>
      <c r="K213" s="15">
        <f t="shared" si="6"/>
        <v>19.98</v>
      </c>
      <c r="L213" s="15">
        <f>ROUND(K213*VLOOKUP(F213,Reference!$A$4:$B$7,2,FALSE()),2)</f>
        <v>4.4000000000000004</v>
      </c>
      <c r="M213" t="s">
        <v>63</v>
      </c>
      <c r="N213" t="str">
        <f t="shared" si="7"/>
        <v>Aug-2024</v>
      </c>
    </row>
    <row r="214" spans="1:14" x14ac:dyDescent="0.3">
      <c r="A214">
        <v>10004</v>
      </c>
      <c r="B214" s="14" t="s">
        <v>422</v>
      </c>
      <c r="C214" t="s">
        <v>72</v>
      </c>
      <c r="D214" t="s">
        <v>277</v>
      </c>
      <c r="E214" t="s">
        <v>74</v>
      </c>
      <c r="F214" t="s">
        <v>44</v>
      </c>
      <c r="G214" t="s">
        <v>45</v>
      </c>
      <c r="H214">
        <v>4</v>
      </c>
      <c r="I214" s="15">
        <v>4.25</v>
      </c>
      <c r="J214" s="16">
        <v>0.15</v>
      </c>
      <c r="K214" s="15">
        <f t="shared" si="6"/>
        <v>14.45</v>
      </c>
      <c r="L214" s="15">
        <f>ROUND(K214*VLOOKUP(F214,Reference!$A$4:$B$7,2,FALSE()),2)</f>
        <v>5.0599999999999996</v>
      </c>
      <c r="M214" t="s">
        <v>52</v>
      </c>
      <c r="N214" t="str">
        <f t="shared" si="7"/>
        <v>Aug-2024</v>
      </c>
    </row>
    <row r="215" spans="1:14" x14ac:dyDescent="0.3">
      <c r="A215">
        <v>10139</v>
      </c>
      <c r="B215" s="14" t="s">
        <v>103</v>
      </c>
      <c r="C215" t="s">
        <v>104</v>
      </c>
      <c r="D215" t="s">
        <v>105</v>
      </c>
      <c r="E215" t="s">
        <v>43</v>
      </c>
      <c r="F215" t="s">
        <v>44</v>
      </c>
      <c r="G215" t="s">
        <v>106</v>
      </c>
      <c r="H215">
        <v>8</v>
      </c>
      <c r="I215" s="15">
        <v>6.75</v>
      </c>
      <c r="J215" s="16">
        <v>0.1</v>
      </c>
      <c r="K215" s="15">
        <f t="shared" si="6"/>
        <v>48.6</v>
      </c>
      <c r="L215" s="15">
        <f>ROUND(K215*VLOOKUP(F215,Reference!$A$4:$B$7,2,FALSE()),2)</f>
        <v>17.010000000000002</v>
      </c>
      <c r="M215" t="s">
        <v>63</v>
      </c>
      <c r="N215" t="str">
        <f t="shared" si="7"/>
        <v>Aug-2024</v>
      </c>
    </row>
    <row r="216" spans="1:14" x14ac:dyDescent="0.3">
      <c r="A216">
        <v>10069</v>
      </c>
      <c r="B216" s="14" t="s">
        <v>535</v>
      </c>
      <c r="C216" t="s">
        <v>466</v>
      </c>
      <c r="D216" t="s">
        <v>412</v>
      </c>
      <c r="E216" t="s">
        <v>74</v>
      </c>
      <c r="F216" t="s">
        <v>56</v>
      </c>
      <c r="G216" t="s">
        <v>149</v>
      </c>
      <c r="H216">
        <v>7</v>
      </c>
      <c r="I216" s="15">
        <v>42</v>
      </c>
      <c r="J216" s="16">
        <v>0</v>
      </c>
      <c r="K216" s="15">
        <f t="shared" si="6"/>
        <v>294</v>
      </c>
      <c r="L216" s="15">
        <f>ROUND(K216*VLOOKUP(F216,Reference!$A$4:$B$7,2,FALSE()),2)</f>
        <v>64.680000000000007</v>
      </c>
      <c r="M216" t="s">
        <v>46</v>
      </c>
      <c r="N216" t="str">
        <f t="shared" si="7"/>
        <v>Aug-2024</v>
      </c>
    </row>
    <row r="217" spans="1:14" x14ac:dyDescent="0.3">
      <c r="A217">
        <v>10256</v>
      </c>
      <c r="B217" s="14" t="s">
        <v>381</v>
      </c>
      <c r="C217" t="s">
        <v>327</v>
      </c>
      <c r="D217" t="s">
        <v>382</v>
      </c>
      <c r="E217" t="s">
        <v>74</v>
      </c>
      <c r="F217" t="s">
        <v>75</v>
      </c>
      <c r="G217" t="s">
        <v>303</v>
      </c>
      <c r="H217">
        <v>1</v>
      </c>
      <c r="I217" s="15">
        <v>29.99</v>
      </c>
      <c r="J217" s="16">
        <v>0.05</v>
      </c>
      <c r="K217" s="15">
        <f t="shared" si="6"/>
        <v>28.49</v>
      </c>
      <c r="L217" s="15">
        <f>ROUND(K217*VLOOKUP(F217,Reference!$A$4:$B$7,2,FALSE()),2)</f>
        <v>7.98</v>
      </c>
      <c r="M217" t="s">
        <v>52</v>
      </c>
      <c r="N217" t="str">
        <f t="shared" si="7"/>
        <v>Aug-2024</v>
      </c>
    </row>
    <row r="218" spans="1:14" x14ac:dyDescent="0.3">
      <c r="A218">
        <v>10359</v>
      </c>
      <c r="B218" s="14" t="s">
        <v>381</v>
      </c>
      <c r="C218" t="s">
        <v>161</v>
      </c>
      <c r="D218" t="s">
        <v>550</v>
      </c>
      <c r="E218" t="s">
        <v>125</v>
      </c>
      <c r="F218" t="s">
        <v>75</v>
      </c>
      <c r="G218" t="s">
        <v>126</v>
      </c>
      <c r="H218">
        <v>6</v>
      </c>
      <c r="I218" s="15">
        <v>12.99</v>
      </c>
      <c r="J218" s="16">
        <v>0.05</v>
      </c>
      <c r="K218" s="15">
        <f t="shared" si="6"/>
        <v>74.040000000000006</v>
      </c>
      <c r="L218" s="15">
        <f>ROUND(K218*VLOOKUP(F218,Reference!$A$4:$B$7,2,FALSE()),2)</f>
        <v>20.73</v>
      </c>
      <c r="M218" t="s">
        <v>46</v>
      </c>
      <c r="N218" t="str">
        <f t="shared" si="7"/>
        <v>Aug-2024</v>
      </c>
    </row>
    <row r="219" spans="1:14" x14ac:dyDescent="0.3">
      <c r="A219">
        <v>10351</v>
      </c>
      <c r="B219" s="14" t="s">
        <v>511</v>
      </c>
      <c r="C219" t="s">
        <v>430</v>
      </c>
      <c r="D219" t="s">
        <v>512</v>
      </c>
      <c r="E219" t="s">
        <v>61</v>
      </c>
      <c r="F219" t="s">
        <v>44</v>
      </c>
      <c r="G219" t="s">
        <v>45</v>
      </c>
      <c r="H219">
        <v>9</v>
      </c>
      <c r="I219" s="15">
        <v>4.25</v>
      </c>
      <c r="J219" s="16">
        <v>0.15</v>
      </c>
      <c r="K219" s="15">
        <f t="shared" si="6"/>
        <v>32.51</v>
      </c>
      <c r="L219" s="15">
        <f>ROUND(K219*VLOOKUP(F219,Reference!$A$4:$B$7,2,FALSE()),2)</f>
        <v>11.38</v>
      </c>
      <c r="M219" t="s">
        <v>52</v>
      </c>
      <c r="N219" t="str">
        <f t="shared" si="7"/>
        <v>Aug-2024</v>
      </c>
    </row>
    <row r="220" spans="1:14" x14ac:dyDescent="0.3">
      <c r="A220">
        <v>10159</v>
      </c>
      <c r="B220" s="14" t="s">
        <v>77</v>
      </c>
      <c r="C220" t="s">
        <v>265</v>
      </c>
      <c r="D220" t="s">
        <v>453</v>
      </c>
      <c r="E220" t="s">
        <v>43</v>
      </c>
      <c r="F220" t="s">
        <v>56</v>
      </c>
      <c r="G220" t="s">
        <v>57</v>
      </c>
      <c r="H220">
        <v>4</v>
      </c>
      <c r="I220" s="15">
        <v>55</v>
      </c>
      <c r="J220" s="16">
        <v>0.25</v>
      </c>
      <c r="K220" s="15">
        <f t="shared" si="6"/>
        <v>165</v>
      </c>
      <c r="L220" s="15">
        <f>ROUND(K220*VLOOKUP(F220,Reference!$A$4:$B$7,2,FALSE()),2)</f>
        <v>36.299999999999997</v>
      </c>
      <c r="M220" t="s">
        <v>46</v>
      </c>
      <c r="N220" t="str">
        <f t="shared" si="7"/>
        <v>Aug-2024</v>
      </c>
    </row>
    <row r="221" spans="1:14" x14ac:dyDescent="0.3">
      <c r="A221">
        <v>10280</v>
      </c>
      <c r="B221" s="14" t="s">
        <v>77</v>
      </c>
      <c r="C221" t="s">
        <v>280</v>
      </c>
      <c r="D221" t="s">
        <v>205</v>
      </c>
      <c r="E221" t="s">
        <v>61</v>
      </c>
      <c r="F221" t="s">
        <v>44</v>
      </c>
      <c r="G221" t="s">
        <v>67</v>
      </c>
      <c r="H221">
        <v>5</v>
      </c>
      <c r="I221" s="15">
        <v>5.5</v>
      </c>
      <c r="J221" s="16">
        <v>0</v>
      </c>
      <c r="K221" s="15">
        <f t="shared" si="6"/>
        <v>27.5</v>
      </c>
      <c r="L221" s="15">
        <f>ROUND(K221*VLOOKUP(F221,Reference!$A$4:$B$7,2,FALSE()),2)</f>
        <v>9.6300000000000008</v>
      </c>
      <c r="M221" t="s">
        <v>52</v>
      </c>
      <c r="N221" t="str">
        <f t="shared" si="7"/>
        <v>Aug-2024</v>
      </c>
    </row>
    <row r="222" spans="1:14" x14ac:dyDescent="0.3">
      <c r="A222">
        <v>10293</v>
      </c>
      <c r="B222" s="14" t="s">
        <v>619</v>
      </c>
      <c r="C222" t="s">
        <v>244</v>
      </c>
      <c r="D222" t="s">
        <v>570</v>
      </c>
      <c r="E222" t="s">
        <v>91</v>
      </c>
      <c r="F222" t="s">
        <v>50</v>
      </c>
      <c r="G222" t="s">
        <v>84</v>
      </c>
      <c r="H222">
        <v>2</v>
      </c>
      <c r="I222" s="15">
        <v>75.5</v>
      </c>
      <c r="J222" s="16">
        <v>0.05</v>
      </c>
      <c r="K222" s="15">
        <f t="shared" si="6"/>
        <v>143.44999999999999</v>
      </c>
      <c r="L222" s="15">
        <f>ROUND(K222*VLOOKUP(F222,Reference!$A$4:$B$7,2,FALSE()),2)</f>
        <v>25.82</v>
      </c>
      <c r="M222" t="s">
        <v>52</v>
      </c>
      <c r="N222" t="str">
        <f t="shared" si="7"/>
        <v>Aug-2024</v>
      </c>
    </row>
    <row r="223" spans="1:14" x14ac:dyDescent="0.3">
      <c r="A223">
        <v>10093</v>
      </c>
      <c r="B223" s="14" t="s">
        <v>318</v>
      </c>
      <c r="C223" t="s">
        <v>310</v>
      </c>
      <c r="D223" t="s">
        <v>610</v>
      </c>
      <c r="E223" t="s">
        <v>43</v>
      </c>
      <c r="F223" t="s">
        <v>50</v>
      </c>
      <c r="G223" t="s">
        <v>62</v>
      </c>
      <c r="H223">
        <v>9</v>
      </c>
      <c r="I223" s="15">
        <v>65</v>
      </c>
      <c r="J223" s="16">
        <v>0</v>
      </c>
      <c r="K223" s="15">
        <f t="shared" si="6"/>
        <v>585</v>
      </c>
      <c r="L223" s="15">
        <f>ROUND(K223*VLOOKUP(F223,Reference!$A$4:$B$7,2,FALSE()),2)</f>
        <v>105.3</v>
      </c>
      <c r="M223" t="s">
        <v>63</v>
      </c>
      <c r="N223" t="str">
        <f t="shared" si="7"/>
        <v>Aug-2024</v>
      </c>
    </row>
    <row r="224" spans="1:14" x14ac:dyDescent="0.3">
      <c r="A224">
        <v>10138</v>
      </c>
      <c r="B224" s="14" t="s">
        <v>318</v>
      </c>
      <c r="C224" t="s">
        <v>319</v>
      </c>
      <c r="D224" t="s">
        <v>320</v>
      </c>
      <c r="E224" t="s">
        <v>61</v>
      </c>
      <c r="F224" t="s">
        <v>56</v>
      </c>
      <c r="G224" t="s">
        <v>217</v>
      </c>
      <c r="H224">
        <v>8</v>
      </c>
      <c r="I224" s="15">
        <v>8</v>
      </c>
      <c r="J224" s="16">
        <v>0.2</v>
      </c>
      <c r="K224" s="15">
        <f t="shared" si="6"/>
        <v>51.2</v>
      </c>
      <c r="L224" s="15">
        <f>ROUND(K224*VLOOKUP(F224,Reference!$A$4:$B$7,2,FALSE()),2)</f>
        <v>11.26</v>
      </c>
      <c r="M224" t="s">
        <v>52</v>
      </c>
      <c r="N224" t="str">
        <f t="shared" si="7"/>
        <v>Aug-2024</v>
      </c>
    </row>
    <row r="225" spans="1:14" x14ac:dyDescent="0.3">
      <c r="A225">
        <v>10364</v>
      </c>
      <c r="B225" s="14" t="s">
        <v>411</v>
      </c>
      <c r="C225" t="s">
        <v>195</v>
      </c>
      <c r="D225" t="s">
        <v>412</v>
      </c>
      <c r="E225" t="s">
        <v>43</v>
      </c>
      <c r="F225" t="s">
        <v>44</v>
      </c>
      <c r="G225" t="s">
        <v>156</v>
      </c>
      <c r="H225">
        <v>8</v>
      </c>
      <c r="I225" s="15">
        <v>27</v>
      </c>
      <c r="J225" s="16">
        <v>0.1</v>
      </c>
      <c r="K225" s="15">
        <f t="shared" si="6"/>
        <v>194.4</v>
      </c>
      <c r="L225" s="15">
        <f>ROUND(K225*VLOOKUP(F225,Reference!$A$4:$B$7,2,FALSE()),2)</f>
        <v>68.040000000000006</v>
      </c>
      <c r="M225" t="s">
        <v>63</v>
      </c>
      <c r="N225" t="str">
        <f t="shared" si="7"/>
        <v>Aug-2024</v>
      </c>
    </row>
    <row r="226" spans="1:14" x14ac:dyDescent="0.3">
      <c r="A226">
        <v>10264</v>
      </c>
      <c r="B226" s="14" t="s">
        <v>413</v>
      </c>
      <c r="C226" t="s">
        <v>414</v>
      </c>
      <c r="D226" t="s">
        <v>335</v>
      </c>
      <c r="E226" t="s">
        <v>91</v>
      </c>
      <c r="F226" t="s">
        <v>56</v>
      </c>
      <c r="G226" t="s">
        <v>133</v>
      </c>
      <c r="H226">
        <v>1</v>
      </c>
      <c r="I226" s="15">
        <v>9.99</v>
      </c>
      <c r="J226" s="16">
        <v>0</v>
      </c>
      <c r="K226" s="15">
        <f t="shared" si="6"/>
        <v>9.99</v>
      </c>
      <c r="L226" s="15">
        <f>ROUND(K226*VLOOKUP(F226,Reference!$A$4:$B$7,2,FALSE()),2)</f>
        <v>2.2000000000000002</v>
      </c>
      <c r="M226" t="s">
        <v>46</v>
      </c>
      <c r="N226" t="str">
        <f t="shared" si="7"/>
        <v>Aug-2024</v>
      </c>
    </row>
    <row r="227" spans="1:14" x14ac:dyDescent="0.3">
      <c r="A227">
        <v>10084</v>
      </c>
      <c r="B227" s="14" t="s">
        <v>329</v>
      </c>
      <c r="C227" t="s">
        <v>330</v>
      </c>
      <c r="D227" t="s">
        <v>331</v>
      </c>
      <c r="E227" t="s">
        <v>91</v>
      </c>
      <c r="F227" t="s">
        <v>56</v>
      </c>
      <c r="G227" t="s">
        <v>57</v>
      </c>
      <c r="H227">
        <v>1</v>
      </c>
      <c r="I227" s="15">
        <v>55</v>
      </c>
      <c r="J227" s="16">
        <v>0.05</v>
      </c>
      <c r="K227" s="15">
        <f t="shared" si="6"/>
        <v>52.25</v>
      </c>
      <c r="L227" s="15">
        <f>ROUND(K227*VLOOKUP(F227,Reference!$A$4:$B$7,2,FALSE()),2)</f>
        <v>11.5</v>
      </c>
      <c r="M227" t="s">
        <v>63</v>
      </c>
      <c r="N227" t="str">
        <f t="shared" si="7"/>
        <v>Aug-2024</v>
      </c>
    </row>
    <row r="228" spans="1:14" x14ac:dyDescent="0.3">
      <c r="A228">
        <v>10334</v>
      </c>
      <c r="B228" s="14" t="s">
        <v>116</v>
      </c>
      <c r="C228" t="s">
        <v>117</v>
      </c>
      <c r="D228" t="s">
        <v>118</v>
      </c>
      <c r="E228" t="s">
        <v>74</v>
      </c>
      <c r="F228" t="s">
        <v>56</v>
      </c>
      <c r="G228" t="s">
        <v>57</v>
      </c>
      <c r="H228">
        <v>2</v>
      </c>
      <c r="I228" s="15">
        <v>55</v>
      </c>
      <c r="J228" s="16">
        <v>0</v>
      </c>
      <c r="K228" s="15">
        <f t="shared" si="6"/>
        <v>110</v>
      </c>
      <c r="L228" s="15">
        <f>ROUND(K228*VLOOKUP(F228,Reference!$A$4:$B$7,2,FALSE()),2)</f>
        <v>24.2</v>
      </c>
      <c r="M228" t="s">
        <v>63</v>
      </c>
      <c r="N228" t="str">
        <f t="shared" si="7"/>
        <v>Aug-2024</v>
      </c>
    </row>
    <row r="229" spans="1:14" x14ac:dyDescent="0.3">
      <c r="A229">
        <v>10062</v>
      </c>
      <c r="B229" s="14" t="s">
        <v>585</v>
      </c>
      <c r="C229" t="s">
        <v>48</v>
      </c>
      <c r="D229" t="s">
        <v>224</v>
      </c>
      <c r="E229" t="s">
        <v>74</v>
      </c>
      <c r="F229" t="s">
        <v>44</v>
      </c>
      <c r="G229" t="s">
        <v>156</v>
      </c>
      <c r="H229">
        <v>5</v>
      </c>
      <c r="I229" s="15">
        <v>27</v>
      </c>
      <c r="J229" s="16">
        <v>0.2</v>
      </c>
      <c r="K229" s="15">
        <f t="shared" si="6"/>
        <v>108</v>
      </c>
      <c r="L229" s="15">
        <f>ROUND(K229*VLOOKUP(F229,Reference!$A$4:$B$7,2,FALSE()),2)</f>
        <v>37.799999999999997</v>
      </c>
      <c r="M229" t="s">
        <v>63</v>
      </c>
      <c r="N229" t="str">
        <f t="shared" si="7"/>
        <v>Aug-2024</v>
      </c>
    </row>
    <row r="230" spans="1:14" x14ac:dyDescent="0.3">
      <c r="A230">
        <v>10318</v>
      </c>
      <c r="B230" s="14" t="s">
        <v>585</v>
      </c>
      <c r="C230" t="s">
        <v>179</v>
      </c>
      <c r="D230" t="s">
        <v>589</v>
      </c>
      <c r="E230" t="s">
        <v>91</v>
      </c>
      <c r="F230" t="s">
        <v>75</v>
      </c>
      <c r="G230" t="s">
        <v>76</v>
      </c>
      <c r="H230">
        <v>3</v>
      </c>
      <c r="I230" s="15">
        <v>22</v>
      </c>
      <c r="J230" s="16">
        <v>0</v>
      </c>
      <c r="K230" s="15">
        <f t="shared" si="6"/>
        <v>66</v>
      </c>
      <c r="L230" s="15">
        <f>ROUND(K230*VLOOKUP(F230,Reference!$A$4:$B$7,2,FALSE()),2)</f>
        <v>18.48</v>
      </c>
      <c r="M230" t="s">
        <v>63</v>
      </c>
      <c r="N230" t="str">
        <f t="shared" si="7"/>
        <v>Aug-2024</v>
      </c>
    </row>
    <row r="231" spans="1:14" x14ac:dyDescent="0.3">
      <c r="A231">
        <v>10321</v>
      </c>
      <c r="B231" s="14" t="s">
        <v>185</v>
      </c>
      <c r="C231" t="s">
        <v>313</v>
      </c>
      <c r="D231" t="s">
        <v>148</v>
      </c>
      <c r="E231" t="s">
        <v>91</v>
      </c>
      <c r="F231" t="s">
        <v>44</v>
      </c>
      <c r="G231" t="s">
        <v>67</v>
      </c>
      <c r="H231">
        <v>8</v>
      </c>
      <c r="I231" s="15">
        <v>5.5</v>
      </c>
      <c r="J231" s="16">
        <v>0</v>
      </c>
      <c r="K231" s="15">
        <f t="shared" si="6"/>
        <v>44</v>
      </c>
      <c r="L231" s="15">
        <f>ROUND(K231*VLOOKUP(F231,Reference!$A$4:$B$7,2,FALSE()),2)</f>
        <v>15.4</v>
      </c>
      <c r="M231" t="s">
        <v>46</v>
      </c>
      <c r="N231" t="str">
        <f t="shared" si="7"/>
        <v>Aug-2024</v>
      </c>
    </row>
    <row r="232" spans="1:14" x14ac:dyDescent="0.3">
      <c r="A232">
        <v>10096</v>
      </c>
      <c r="B232" s="14" t="s">
        <v>185</v>
      </c>
      <c r="C232" t="s">
        <v>186</v>
      </c>
      <c r="D232" t="s">
        <v>170</v>
      </c>
      <c r="E232" t="s">
        <v>91</v>
      </c>
      <c r="F232" t="s">
        <v>50</v>
      </c>
      <c r="G232" t="s">
        <v>84</v>
      </c>
      <c r="H232">
        <v>4</v>
      </c>
      <c r="I232" s="15">
        <v>75.5</v>
      </c>
      <c r="J232" s="16">
        <v>0</v>
      </c>
      <c r="K232" s="15">
        <f t="shared" si="6"/>
        <v>302</v>
      </c>
      <c r="L232" s="15">
        <f>ROUND(K232*VLOOKUP(F232,Reference!$A$4:$B$7,2,FALSE()),2)</f>
        <v>54.36</v>
      </c>
      <c r="M232" t="s">
        <v>52</v>
      </c>
      <c r="N232" t="str">
        <f t="shared" si="7"/>
        <v>Aug-2024</v>
      </c>
    </row>
    <row r="233" spans="1:14" x14ac:dyDescent="0.3">
      <c r="A233">
        <v>10220</v>
      </c>
      <c r="B233" s="14" t="s">
        <v>559</v>
      </c>
      <c r="C233" t="s">
        <v>462</v>
      </c>
      <c r="D233" t="s">
        <v>306</v>
      </c>
      <c r="E233" t="s">
        <v>74</v>
      </c>
      <c r="F233" t="s">
        <v>50</v>
      </c>
      <c r="G233" t="s">
        <v>80</v>
      </c>
      <c r="H233">
        <v>6</v>
      </c>
      <c r="I233" s="15">
        <v>89</v>
      </c>
      <c r="J233" s="16">
        <v>0.1</v>
      </c>
      <c r="K233" s="15">
        <f t="shared" si="6"/>
        <v>480.6</v>
      </c>
      <c r="L233" s="15">
        <f>ROUND(K233*VLOOKUP(F233,Reference!$A$4:$B$7,2,FALSE()),2)</f>
        <v>86.51</v>
      </c>
      <c r="M233" t="s">
        <v>46</v>
      </c>
      <c r="N233" t="str">
        <f t="shared" si="7"/>
        <v>Aug-2024</v>
      </c>
    </row>
    <row r="234" spans="1:14" x14ac:dyDescent="0.3">
      <c r="A234">
        <v>10282</v>
      </c>
      <c r="B234" s="14" t="s">
        <v>110</v>
      </c>
      <c r="C234" t="s">
        <v>141</v>
      </c>
      <c r="D234" t="s">
        <v>220</v>
      </c>
      <c r="E234" t="s">
        <v>125</v>
      </c>
      <c r="F234" t="s">
        <v>56</v>
      </c>
      <c r="G234" t="s">
        <v>149</v>
      </c>
      <c r="H234">
        <v>3</v>
      </c>
      <c r="I234" s="15">
        <v>42</v>
      </c>
      <c r="J234" s="16">
        <v>0.2</v>
      </c>
      <c r="K234" s="15">
        <f t="shared" si="6"/>
        <v>100.8</v>
      </c>
      <c r="L234" s="15">
        <f>ROUND(K234*VLOOKUP(F234,Reference!$A$4:$B$7,2,FALSE()),2)</f>
        <v>22.18</v>
      </c>
      <c r="M234" t="s">
        <v>52</v>
      </c>
      <c r="N234" t="str">
        <f t="shared" si="7"/>
        <v>Aug-2024</v>
      </c>
    </row>
    <row r="235" spans="1:14" x14ac:dyDescent="0.3">
      <c r="A235">
        <v>10095</v>
      </c>
      <c r="B235" s="14" t="s">
        <v>110</v>
      </c>
      <c r="C235" t="s">
        <v>111</v>
      </c>
      <c r="D235" t="s">
        <v>112</v>
      </c>
      <c r="E235" t="s">
        <v>43</v>
      </c>
      <c r="F235" t="s">
        <v>50</v>
      </c>
      <c r="G235" t="s">
        <v>84</v>
      </c>
      <c r="H235">
        <v>5</v>
      </c>
      <c r="I235" s="15">
        <v>75.5</v>
      </c>
      <c r="J235" s="16">
        <v>0.1</v>
      </c>
      <c r="K235" s="15">
        <f t="shared" si="6"/>
        <v>339.75</v>
      </c>
      <c r="L235" s="15">
        <f>ROUND(K235*VLOOKUP(F235,Reference!$A$4:$B$7,2,FALSE()),2)</f>
        <v>61.16</v>
      </c>
      <c r="M235" t="s">
        <v>63</v>
      </c>
      <c r="N235" t="str">
        <f t="shared" si="7"/>
        <v>Aug-2024</v>
      </c>
    </row>
    <row r="236" spans="1:14" x14ac:dyDescent="0.3">
      <c r="A236">
        <v>10327</v>
      </c>
      <c r="B236" s="14" t="s">
        <v>427</v>
      </c>
      <c r="C236" t="s">
        <v>456</v>
      </c>
      <c r="D236" t="s">
        <v>374</v>
      </c>
      <c r="E236" t="s">
        <v>74</v>
      </c>
      <c r="F236" t="s">
        <v>56</v>
      </c>
      <c r="G236" t="s">
        <v>149</v>
      </c>
      <c r="H236">
        <v>9</v>
      </c>
      <c r="I236" s="15">
        <v>42</v>
      </c>
      <c r="J236" s="16">
        <v>0.05</v>
      </c>
      <c r="K236" s="15">
        <f t="shared" si="6"/>
        <v>359.1</v>
      </c>
      <c r="L236" s="15">
        <f>ROUND(K236*VLOOKUP(F236,Reference!$A$4:$B$7,2,FALSE()),2)</f>
        <v>79</v>
      </c>
      <c r="M236" t="s">
        <v>63</v>
      </c>
      <c r="N236" t="str">
        <f t="shared" si="7"/>
        <v>Aug-2024</v>
      </c>
    </row>
    <row r="237" spans="1:14" x14ac:dyDescent="0.3">
      <c r="A237">
        <v>10054</v>
      </c>
      <c r="B237" s="14" t="s">
        <v>427</v>
      </c>
      <c r="C237" t="s">
        <v>428</v>
      </c>
      <c r="D237" t="s">
        <v>429</v>
      </c>
      <c r="E237" t="s">
        <v>91</v>
      </c>
      <c r="F237" t="s">
        <v>44</v>
      </c>
      <c r="G237" t="s">
        <v>156</v>
      </c>
      <c r="H237">
        <v>10</v>
      </c>
      <c r="I237" s="15">
        <v>27</v>
      </c>
      <c r="J237" s="16">
        <v>0.2</v>
      </c>
      <c r="K237" s="15">
        <f t="shared" si="6"/>
        <v>216</v>
      </c>
      <c r="L237" s="15">
        <f>ROUND(K237*VLOOKUP(F237,Reference!$A$4:$B$7,2,FALSE()),2)</f>
        <v>75.599999999999994</v>
      </c>
      <c r="M237" t="s">
        <v>63</v>
      </c>
      <c r="N237" t="str">
        <f t="shared" si="7"/>
        <v>Aug-2024</v>
      </c>
    </row>
    <row r="238" spans="1:14" x14ac:dyDescent="0.3">
      <c r="A238">
        <v>10013</v>
      </c>
      <c r="B238" s="14" t="s">
        <v>496</v>
      </c>
      <c r="C238" t="s">
        <v>197</v>
      </c>
      <c r="D238" t="s">
        <v>201</v>
      </c>
      <c r="E238" t="s">
        <v>91</v>
      </c>
      <c r="F238" t="s">
        <v>44</v>
      </c>
      <c r="G238" t="s">
        <v>106</v>
      </c>
      <c r="H238">
        <v>1</v>
      </c>
      <c r="I238" s="15">
        <v>6.75</v>
      </c>
      <c r="J238" s="16">
        <v>0</v>
      </c>
      <c r="K238" s="15">
        <f t="shared" si="6"/>
        <v>6.75</v>
      </c>
      <c r="L238" s="15">
        <f>ROUND(K238*VLOOKUP(F238,Reference!$A$4:$B$7,2,FALSE()),2)</f>
        <v>2.36</v>
      </c>
      <c r="M238" t="s">
        <v>46</v>
      </c>
      <c r="N238" t="str">
        <f t="shared" si="7"/>
        <v>Aug-2024</v>
      </c>
    </row>
    <row r="239" spans="1:14" x14ac:dyDescent="0.3">
      <c r="A239">
        <v>10246</v>
      </c>
      <c r="B239" s="14" t="s">
        <v>190</v>
      </c>
      <c r="C239" t="s">
        <v>186</v>
      </c>
      <c r="D239" t="s">
        <v>87</v>
      </c>
      <c r="E239" t="s">
        <v>74</v>
      </c>
      <c r="F239" t="s">
        <v>50</v>
      </c>
      <c r="G239" t="s">
        <v>62</v>
      </c>
      <c r="H239">
        <v>6</v>
      </c>
      <c r="I239" s="15">
        <v>65</v>
      </c>
      <c r="J239" s="16">
        <v>0.2</v>
      </c>
      <c r="K239" s="15">
        <f t="shared" si="6"/>
        <v>312</v>
      </c>
      <c r="L239" s="15">
        <f>ROUND(K239*VLOOKUP(F239,Reference!$A$4:$B$7,2,FALSE()),2)</f>
        <v>56.16</v>
      </c>
      <c r="M239" t="s">
        <v>63</v>
      </c>
      <c r="N239" t="str">
        <f t="shared" si="7"/>
        <v>Aug-2024</v>
      </c>
    </row>
    <row r="240" spans="1:14" x14ac:dyDescent="0.3">
      <c r="A240">
        <v>10363</v>
      </c>
      <c r="B240" s="14" t="s">
        <v>457</v>
      </c>
      <c r="C240" t="s">
        <v>120</v>
      </c>
      <c r="D240" t="s">
        <v>233</v>
      </c>
      <c r="E240" t="s">
        <v>61</v>
      </c>
      <c r="F240" t="s">
        <v>44</v>
      </c>
      <c r="G240" t="s">
        <v>67</v>
      </c>
      <c r="H240">
        <v>9</v>
      </c>
      <c r="I240" s="15">
        <v>5.5</v>
      </c>
      <c r="J240" s="16">
        <v>0.2</v>
      </c>
      <c r="K240" s="15">
        <f t="shared" si="6"/>
        <v>39.6</v>
      </c>
      <c r="L240" s="15">
        <f>ROUND(K240*VLOOKUP(F240,Reference!$A$4:$B$7,2,FALSE()),2)</f>
        <v>13.86</v>
      </c>
      <c r="M240" t="s">
        <v>63</v>
      </c>
      <c r="N240" t="str">
        <f t="shared" si="7"/>
        <v>Aug-2024</v>
      </c>
    </row>
    <row r="241" spans="1:14" x14ac:dyDescent="0.3">
      <c r="A241">
        <v>10323</v>
      </c>
      <c r="B241" s="14" t="s">
        <v>457</v>
      </c>
      <c r="C241" t="s">
        <v>423</v>
      </c>
      <c r="D241" t="s">
        <v>458</v>
      </c>
      <c r="E241" t="s">
        <v>74</v>
      </c>
      <c r="F241" t="s">
        <v>56</v>
      </c>
      <c r="G241" t="s">
        <v>149</v>
      </c>
      <c r="H241">
        <v>3</v>
      </c>
      <c r="I241" s="15">
        <v>42</v>
      </c>
      <c r="J241" s="16">
        <v>0</v>
      </c>
      <c r="K241" s="15">
        <f t="shared" si="6"/>
        <v>126</v>
      </c>
      <c r="L241" s="15">
        <f>ROUND(K241*VLOOKUP(F241,Reference!$A$4:$B$7,2,FALSE()),2)</f>
        <v>27.72</v>
      </c>
      <c r="M241" t="s">
        <v>52</v>
      </c>
      <c r="N241" t="str">
        <f t="shared" si="7"/>
        <v>Aug-2024</v>
      </c>
    </row>
    <row r="242" spans="1:14" x14ac:dyDescent="0.3">
      <c r="A242">
        <v>10055</v>
      </c>
      <c r="B242" s="14" t="s">
        <v>516</v>
      </c>
      <c r="C242" t="s">
        <v>177</v>
      </c>
      <c r="D242" t="s">
        <v>517</v>
      </c>
      <c r="E242" t="s">
        <v>61</v>
      </c>
      <c r="F242" t="s">
        <v>44</v>
      </c>
      <c r="G242" t="s">
        <v>45</v>
      </c>
      <c r="H242">
        <v>5</v>
      </c>
      <c r="I242" s="15">
        <v>4.25</v>
      </c>
      <c r="J242" s="16">
        <v>0.25</v>
      </c>
      <c r="K242" s="15">
        <f t="shared" si="6"/>
        <v>15.94</v>
      </c>
      <c r="L242" s="15">
        <f>ROUND(K242*VLOOKUP(F242,Reference!$A$4:$B$7,2,FALSE()),2)</f>
        <v>5.58</v>
      </c>
      <c r="M242" t="s">
        <v>63</v>
      </c>
      <c r="N242" t="str">
        <f t="shared" si="7"/>
        <v>Aug-2024</v>
      </c>
    </row>
    <row r="243" spans="1:14" x14ac:dyDescent="0.3">
      <c r="A243">
        <v>10222</v>
      </c>
      <c r="B243" s="14" t="s">
        <v>493</v>
      </c>
      <c r="C243" t="s">
        <v>494</v>
      </c>
      <c r="D243" t="s">
        <v>495</v>
      </c>
      <c r="E243" t="s">
        <v>74</v>
      </c>
      <c r="F243" t="s">
        <v>50</v>
      </c>
      <c r="G243" t="s">
        <v>80</v>
      </c>
      <c r="H243">
        <v>5</v>
      </c>
      <c r="I243" s="15">
        <v>89</v>
      </c>
      <c r="J243" s="16">
        <v>0.2</v>
      </c>
      <c r="K243" s="15">
        <f t="shared" si="6"/>
        <v>356</v>
      </c>
      <c r="L243" s="15">
        <f>ROUND(K243*VLOOKUP(F243,Reference!$A$4:$B$7,2,FALSE()),2)</f>
        <v>64.08</v>
      </c>
      <c r="M243" t="s">
        <v>52</v>
      </c>
      <c r="N243" t="str">
        <f t="shared" si="7"/>
        <v>Sep-2024</v>
      </c>
    </row>
    <row r="244" spans="1:14" x14ac:dyDescent="0.3">
      <c r="A244">
        <v>10172</v>
      </c>
      <c r="B244" s="14" t="s">
        <v>604</v>
      </c>
      <c r="C244" t="s">
        <v>325</v>
      </c>
      <c r="D244" t="s">
        <v>132</v>
      </c>
      <c r="E244" t="s">
        <v>125</v>
      </c>
      <c r="F244" t="s">
        <v>50</v>
      </c>
      <c r="G244" t="s">
        <v>80</v>
      </c>
      <c r="H244">
        <v>8</v>
      </c>
      <c r="I244" s="15">
        <v>89</v>
      </c>
      <c r="J244" s="16">
        <v>0</v>
      </c>
      <c r="K244" s="15">
        <f t="shared" si="6"/>
        <v>712</v>
      </c>
      <c r="L244" s="15">
        <f>ROUND(K244*VLOOKUP(F244,Reference!$A$4:$B$7,2,FALSE()),2)</f>
        <v>128.16</v>
      </c>
      <c r="M244" t="s">
        <v>63</v>
      </c>
      <c r="N244" t="str">
        <f t="shared" si="7"/>
        <v>Sep-2024</v>
      </c>
    </row>
    <row r="245" spans="1:14" x14ac:dyDescent="0.3">
      <c r="A245">
        <v>10070</v>
      </c>
      <c r="B245" s="14" t="s">
        <v>461</v>
      </c>
      <c r="C245" t="s">
        <v>462</v>
      </c>
      <c r="D245" t="s">
        <v>463</v>
      </c>
      <c r="E245" t="s">
        <v>61</v>
      </c>
      <c r="F245" t="s">
        <v>56</v>
      </c>
      <c r="G245" t="s">
        <v>217</v>
      </c>
      <c r="H245">
        <v>5</v>
      </c>
      <c r="I245" s="15">
        <v>8</v>
      </c>
      <c r="J245" s="16">
        <v>0.15</v>
      </c>
      <c r="K245" s="15">
        <f t="shared" si="6"/>
        <v>34</v>
      </c>
      <c r="L245" s="15">
        <f>ROUND(K245*VLOOKUP(F245,Reference!$A$4:$B$7,2,FALSE()),2)</f>
        <v>7.48</v>
      </c>
      <c r="M245" t="s">
        <v>52</v>
      </c>
      <c r="N245" t="str">
        <f t="shared" si="7"/>
        <v>Sep-2024</v>
      </c>
    </row>
    <row r="246" spans="1:14" x14ac:dyDescent="0.3">
      <c r="A246">
        <v>10026</v>
      </c>
      <c r="B246" s="14" t="s">
        <v>225</v>
      </c>
      <c r="C246" t="s">
        <v>282</v>
      </c>
      <c r="D246" t="s">
        <v>464</v>
      </c>
      <c r="E246" t="s">
        <v>61</v>
      </c>
      <c r="F246" t="s">
        <v>50</v>
      </c>
      <c r="G246" t="s">
        <v>84</v>
      </c>
      <c r="H246">
        <v>1</v>
      </c>
      <c r="I246" s="15">
        <v>75.5</v>
      </c>
      <c r="J246" s="16">
        <v>0</v>
      </c>
      <c r="K246" s="15">
        <f t="shared" si="6"/>
        <v>75.5</v>
      </c>
      <c r="L246" s="15">
        <f>ROUND(K246*VLOOKUP(F246,Reference!$A$4:$B$7,2,FALSE()),2)</f>
        <v>13.59</v>
      </c>
      <c r="M246" t="s">
        <v>52</v>
      </c>
      <c r="N246" t="str">
        <f t="shared" si="7"/>
        <v>Sep-2024</v>
      </c>
    </row>
    <row r="247" spans="1:14" x14ac:dyDescent="0.3">
      <c r="A247">
        <v>10376</v>
      </c>
      <c r="B247" s="14" t="s">
        <v>225</v>
      </c>
      <c r="C247" t="s">
        <v>226</v>
      </c>
      <c r="D247" t="s">
        <v>227</v>
      </c>
      <c r="E247" t="s">
        <v>91</v>
      </c>
      <c r="F247" t="s">
        <v>44</v>
      </c>
      <c r="G247" t="s">
        <v>67</v>
      </c>
      <c r="H247">
        <v>9</v>
      </c>
      <c r="I247" s="15">
        <v>5.5</v>
      </c>
      <c r="J247" s="16">
        <v>0</v>
      </c>
      <c r="K247" s="15">
        <f t="shared" si="6"/>
        <v>49.5</v>
      </c>
      <c r="L247" s="15">
        <f>ROUND(K247*VLOOKUP(F247,Reference!$A$4:$B$7,2,FALSE()),2)</f>
        <v>17.329999999999998</v>
      </c>
      <c r="M247" t="s">
        <v>63</v>
      </c>
      <c r="N247" t="str">
        <f t="shared" si="7"/>
        <v>Sep-2024</v>
      </c>
    </row>
    <row r="248" spans="1:14" x14ac:dyDescent="0.3">
      <c r="A248">
        <v>10372</v>
      </c>
      <c r="B248" s="14" t="s">
        <v>225</v>
      </c>
      <c r="C248" t="s">
        <v>494</v>
      </c>
      <c r="D248" t="s">
        <v>618</v>
      </c>
      <c r="E248" t="s">
        <v>91</v>
      </c>
      <c r="F248" t="s">
        <v>56</v>
      </c>
      <c r="G248" t="s">
        <v>133</v>
      </c>
      <c r="H248">
        <v>3</v>
      </c>
      <c r="I248" s="15">
        <v>9.99</v>
      </c>
      <c r="J248" s="16">
        <v>0.1</v>
      </c>
      <c r="K248" s="15">
        <f t="shared" si="6"/>
        <v>26.97</v>
      </c>
      <c r="L248" s="15">
        <f>ROUND(K248*VLOOKUP(F248,Reference!$A$4:$B$7,2,FALSE()),2)</f>
        <v>5.93</v>
      </c>
      <c r="M248" t="s">
        <v>46</v>
      </c>
      <c r="N248" t="str">
        <f t="shared" si="7"/>
        <v>Sep-2024</v>
      </c>
    </row>
    <row r="249" spans="1:14" x14ac:dyDescent="0.3">
      <c r="A249">
        <v>10036</v>
      </c>
      <c r="B249" s="14" t="s">
        <v>459</v>
      </c>
      <c r="C249" t="s">
        <v>270</v>
      </c>
      <c r="D249" t="s">
        <v>302</v>
      </c>
      <c r="E249" t="s">
        <v>74</v>
      </c>
      <c r="F249" t="s">
        <v>75</v>
      </c>
      <c r="G249" t="s">
        <v>126</v>
      </c>
      <c r="H249">
        <v>7</v>
      </c>
      <c r="I249" s="15">
        <v>12.99</v>
      </c>
      <c r="J249" s="16">
        <v>0.1</v>
      </c>
      <c r="K249" s="15">
        <f t="shared" si="6"/>
        <v>81.84</v>
      </c>
      <c r="L249" s="15">
        <f>ROUND(K249*VLOOKUP(F249,Reference!$A$4:$B$7,2,FALSE()),2)</f>
        <v>22.92</v>
      </c>
      <c r="M249" t="s">
        <v>46</v>
      </c>
      <c r="N249" t="str">
        <f t="shared" si="7"/>
        <v>Sep-2024</v>
      </c>
    </row>
    <row r="250" spans="1:14" x14ac:dyDescent="0.3">
      <c r="A250">
        <v>10117</v>
      </c>
      <c r="B250" s="14" t="s">
        <v>405</v>
      </c>
      <c r="C250" t="s">
        <v>252</v>
      </c>
      <c r="D250" t="s">
        <v>345</v>
      </c>
      <c r="E250" t="s">
        <v>43</v>
      </c>
      <c r="F250" t="s">
        <v>75</v>
      </c>
      <c r="G250" t="s">
        <v>202</v>
      </c>
      <c r="H250">
        <v>9</v>
      </c>
      <c r="I250" s="15">
        <v>34.5</v>
      </c>
      <c r="J250" s="16">
        <v>0</v>
      </c>
      <c r="K250" s="15">
        <f t="shared" si="6"/>
        <v>310.5</v>
      </c>
      <c r="L250" s="15">
        <f>ROUND(K250*VLOOKUP(F250,Reference!$A$4:$B$7,2,FALSE()),2)</f>
        <v>86.94</v>
      </c>
      <c r="M250" t="s">
        <v>52</v>
      </c>
      <c r="N250" t="str">
        <f t="shared" si="7"/>
        <v>Sep-2024</v>
      </c>
    </row>
    <row r="251" spans="1:14" x14ac:dyDescent="0.3">
      <c r="A251">
        <v>10292</v>
      </c>
      <c r="B251" s="14" t="s">
        <v>578</v>
      </c>
      <c r="C251" t="s">
        <v>167</v>
      </c>
      <c r="D251" t="s">
        <v>345</v>
      </c>
      <c r="E251" t="s">
        <v>91</v>
      </c>
      <c r="F251" t="s">
        <v>75</v>
      </c>
      <c r="G251" t="s">
        <v>303</v>
      </c>
      <c r="H251">
        <v>2</v>
      </c>
      <c r="I251" s="15">
        <v>29.99</v>
      </c>
      <c r="J251" s="16">
        <v>0.1</v>
      </c>
      <c r="K251" s="15">
        <f t="shared" si="6"/>
        <v>53.98</v>
      </c>
      <c r="L251" s="15">
        <f>ROUND(K251*VLOOKUP(F251,Reference!$A$4:$B$7,2,FALSE()),2)</f>
        <v>15.11</v>
      </c>
      <c r="M251" t="s">
        <v>63</v>
      </c>
      <c r="N251" t="str">
        <f t="shared" si="7"/>
        <v>Sep-2024</v>
      </c>
    </row>
    <row r="252" spans="1:14" x14ac:dyDescent="0.3">
      <c r="A252">
        <v>10110</v>
      </c>
      <c r="B252" s="14" t="s">
        <v>390</v>
      </c>
      <c r="C252" t="s">
        <v>391</v>
      </c>
      <c r="D252" t="s">
        <v>142</v>
      </c>
      <c r="E252" t="s">
        <v>74</v>
      </c>
      <c r="F252" t="s">
        <v>50</v>
      </c>
      <c r="G252" t="s">
        <v>99</v>
      </c>
      <c r="H252">
        <v>6</v>
      </c>
      <c r="I252" s="15">
        <v>15</v>
      </c>
      <c r="J252" s="16">
        <v>0.05</v>
      </c>
      <c r="K252" s="15">
        <f t="shared" si="6"/>
        <v>85.5</v>
      </c>
      <c r="L252" s="15">
        <f>ROUND(K252*VLOOKUP(F252,Reference!$A$4:$B$7,2,FALSE()),2)</f>
        <v>15.39</v>
      </c>
      <c r="M252" t="s">
        <v>46</v>
      </c>
      <c r="N252" t="str">
        <f t="shared" si="7"/>
        <v>Sep-2024</v>
      </c>
    </row>
    <row r="253" spans="1:14" x14ac:dyDescent="0.3">
      <c r="A253">
        <v>10319</v>
      </c>
      <c r="B253" s="14" t="s">
        <v>390</v>
      </c>
      <c r="C253" t="s">
        <v>403</v>
      </c>
      <c r="D253" t="s">
        <v>148</v>
      </c>
      <c r="E253" t="s">
        <v>74</v>
      </c>
      <c r="F253" t="s">
        <v>44</v>
      </c>
      <c r="G253" t="s">
        <v>45</v>
      </c>
      <c r="H253">
        <v>6</v>
      </c>
      <c r="I253" s="15">
        <v>4.25</v>
      </c>
      <c r="J253" s="16">
        <v>0</v>
      </c>
      <c r="K253" s="15">
        <f t="shared" si="6"/>
        <v>25.5</v>
      </c>
      <c r="L253" s="15">
        <f>ROUND(K253*VLOOKUP(F253,Reference!$A$4:$B$7,2,FALSE()),2)</f>
        <v>8.93</v>
      </c>
      <c r="M253" t="s">
        <v>63</v>
      </c>
      <c r="N253" t="str">
        <f t="shared" si="7"/>
        <v>Sep-2024</v>
      </c>
    </row>
    <row r="254" spans="1:14" x14ac:dyDescent="0.3">
      <c r="A254">
        <v>10248</v>
      </c>
      <c r="B254" s="14" t="s">
        <v>240</v>
      </c>
      <c r="C254" t="s">
        <v>241</v>
      </c>
      <c r="D254" t="s">
        <v>124</v>
      </c>
      <c r="E254" t="s">
        <v>91</v>
      </c>
      <c r="F254" t="s">
        <v>44</v>
      </c>
      <c r="G254" t="s">
        <v>146</v>
      </c>
      <c r="H254">
        <v>8</v>
      </c>
      <c r="I254" s="15">
        <v>3.1</v>
      </c>
      <c r="J254" s="16">
        <v>0.25</v>
      </c>
      <c r="K254" s="15">
        <f t="shared" si="6"/>
        <v>18.600000000000001</v>
      </c>
      <c r="L254" s="15">
        <f>ROUND(K254*VLOOKUP(F254,Reference!$A$4:$B$7,2,FALSE()),2)</f>
        <v>6.51</v>
      </c>
      <c r="M254" t="s">
        <v>63</v>
      </c>
      <c r="N254" t="str">
        <f t="shared" si="7"/>
        <v>Sep-2024</v>
      </c>
    </row>
    <row r="255" spans="1:14" x14ac:dyDescent="0.3">
      <c r="A255">
        <v>10273</v>
      </c>
      <c r="B255" s="14" t="s">
        <v>240</v>
      </c>
      <c r="C255" t="s">
        <v>372</v>
      </c>
      <c r="D255" t="s">
        <v>277</v>
      </c>
      <c r="E255" t="s">
        <v>125</v>
      </c>
      <c r="F255" t="s">
        <v>44</v>
      </c>
      <c r="G255" t="s">
        <v>45</v>
      </c>
      <c r="H255">
        <v>5</v>
      </c>
      <c r="I255" s="15">
        <v>4.25</v>
      </c>
      <c r="J255" s="16">
        <v>0</v>
      </c>
      <c r="K255" s="15">
        <f t="shared" si="6"/>
        <v>21.25</v>
      </c>
      <c r="L255" s="15">
        <f>ROUND(K255*VLOOKUP(F255,Reference!$A$4:$B$7,2,FALSE()),2)</f>
        <v>7.44</v>
      </c>
      <c r="M255" t="s">
        <v>52</v>
      </c>
      <c r="N255" t="str">
        <f t="shared" si="7"/>
        <v>Sep-2024</v>
      </c>
    </row>
    <row r="256" spans="1:14" x14ac:dyDescent="0.3">
      <c r="A256">
        <v>10227</v>
      </c>
      <c r="B256" s="14" t="s">
        <v>332</v>
      </c>
      <c r="C256" t="s">
        <v>89</v>
      </c>
      <c r="D256" t="s">
        <v>66</v>
      </c>
      <c r="E256" t="s">
        <v>125</v>
      </c>
      <c r="F256" t="s">
        <v>50</v>
      </c>
      <c r="G256" t="s">
        <v>51</v>
      </c>
      <c r="H256">
        <v>6</v>
      </c>
      <c r="I256" s="15">
        <v>120</v>
      </c>
      <c r="J256" s="16">
        <v>0.25</v>
      </c>
      <c r="K256" s="15">
        <f t="shared" si="6"/>
        <v>540</v>
      </c>
      <c r="L256" s="15">
        <f>ROUND(K256*VLOOKUP(F256,Reference!$A$4:$B$7,2,FALSE()),2)</f>
        <v>97.2</v>
      </c>
      <c r="M256" t="s">
        <v>52</v>
      </c>
      <c r="N256" t="str">
        <f t="shared" si="7"/>
        <v>Sep-2024</v>
      </c>
    </row>
    <row r="257" spans="1:14" x14ac:dyDescent="0.3">
      <c r="A257">
        <v>10201</v>
      </c>
      <c r="B257" s="14" t="s">
        <v>332</v>
      </c>
      <c r="C257" t="s">
        <v>430</v>
      </c>
      <c r="D257" t="s">
        <v>326</v>
      </c>
      <c r="E257" t="s">
        <v>61</v>
      </c>
      <c r="F257" t="s">
        <v>44</v>
      </c>
      <c r="G257" t="s">
        <v>106</v>
      </c>
      <c r="H257">
        <v>10</v>
      </c>
      <c r="I257" s="15">
        <v>6.75</v>
      </c>
      <c r="J257" s="16">
        <v>0</v>
      </c>
      <c r="K257" s="15">
        <f t="shared" si="6"/>
        <v>67.5</v>
      </c>
      <c r="L257" s="15">
        <f>ROUND(K257*VLOOKUP(F257,Reference!$A$4:$B$7,2,FALSE()),2)</f>
        <v>23.63</v>
      </c>
      <c r="M257" t="s">
        <v>52</v>
      </c>
      <c r="N257" t="str">
        <f t="shared" si="7"/>
        <v>Sep-2024</v>
      </c>
    </row>
    <row r="258" spans="1:14" x14ac:dyDescent="0.3">
      <c r="A258">
        <v>10015</v>
      </c>
      <c r="B258" s="14" t="s">
        <v>354</v>
      </c>
      <c r="C258" t="s">
        <v>355</v>
      </c>
      <c r="D258" t="s">
        <v>356</v>
      </c>
      <c r="E258" t="s">
        <v>43</v>
      </c>
      <c r="F258" t="s">
        <v>44</v>
      </c>
      <c r="G258" t="s">
        <v>106</v>
      </c>
      <c r="H258">
        <v>10</v>
      </c>
      <c r="I258" s="15">
        <v>6.75</v>
      </c>
      <c r="J258" s="16">
        <v>0.05</v>
      </c>
      <c r="K258" s="15">
        <f t="shared" si="6"/>
        <v>64.13</v>
      </c>
      <c r="L258" s="15">
        <f>ROUND(K258*VLOOKUP(F258,Reference!$A$4:$B$7,2,FALSE()),2)</f>
        <v>22.45</v>
      </c>
      <c r="M258" t="s">
        <v>46</v>
      </c>
      <c r="N258" t="str">
        <f t="shared" si="7"/>
        <v>Sep-2024</v>
      </c>
    </row>
    <row r="259" spans="1:14" x14ac:dyDescent="0.3">
      <c r="A259">
        <v>10097</v>
      </c>
      <c r="B259" s="14" t="s">
        <v>354</v>
      </c>
      <c r="C259" t="s">
        <v>172</v>
      </c>
      <c r="D259" t="s">
        <v>505</v>
      </c>
      <c r="E259" t="s">
        <v>74</v>
      </c>
      <c r="F259" t="s">
        <v>75</v>
      </c>
      <c r="G259" t="s">
        <v>76</v>
      </c>
      <c r="H259">
        <v>5</v>
      </c>
      <c r="I259" s="15">
        <v>22</v>
      </c>
      <c r="J259" s="16">
        <v>0.25</v>
      </c>
      <c r="K259" s="15">
        <f t="shared" si="6"/>
        <v>82.5</v>
      </c>
      <c r="L259" s="15">
        <f>ROUND(K259*VLOOKUP(F259,Reference!$A$4:$B$7,2,FALSE()),2)</f>
        <v>23.1</v>
      </c>
      <c r="M259" t="s">
        <v>52</v>
      </c>
      <c r="N259" t="str">
        <f t="shared" si="7"/>
        <v>Sep-2024</v>
      </c>
    </row>
    <row r="260" spans="1:14" x14ac:dyDescent="0.3">
      <c r="A260">
        <v>10029</v>
      </c>
      <c r="B260" s="14" t="s">
        <v>421</v>
      </c>
      <c r="C260" t="s">
        <v>78</v>
      </c>
      <c r="D260" t="s">
        <v>242</v>
      </c>
      <c r="E260" t="s">
        <v>43</v>
      </c>
      <c r="F260" t="s">
        <v>50</v>
      </c>
      <c r="G260" t="s">
        <v>80</v>
      </c>
      <c r="H260">
        <v>10</v>
      </c>
      <c r="I260" s="15">
        <v>89</v>
      </c>
      <c r="J260" s="16">
        <v>0</v>
      </c>
      <c r="K260" s="15">
        <f t="shared" ref="K260:K323" si="8">ROUND(H260*I260*(1-J260),2)</f>
        <v>890</v>
      </c>
      <c r="L260" s="15">
        <f>ROUND(K260*VLOOKUP(F260,Reference!$A$4:$B$7,2,FALSE()),2)</f>
        <v>160.19999999999999</v>
      </c>
      <c r="M260" t="s">
        <v>63</v>
      </c>
      <c r="N260" t="str">
        <f t="shared" ref="N260:N323" si="9">TEXT(B260,"mmm-yyyy")</f>
        <v>Sep-2024</v>
      </c>
    </row>
    <row r="261" spans="1:14" x14ac:dyDescent="0.3">
      <c r="A261">
        <v>10045</v>
      </c>
      <c r="B261" s="14" t="s">
        <v>398</v>
      </c>
      <c r="C261" t="s">
        <v>238</v>
      </c>
      <c r="D261" t="s">
        <v>374</v>
      </c>
      <c r="E261" t="s">
        <v>43</v>
      </c>
      <c r="F261" t="s">
        <v>56</v>
      </c>
      <c r="G261" t="s">
        <v>217</v>
      </c>
      <c r="H261">
        <v>4</v>
      </c>
      <c r="I261" s="15">
        <v>8</v>
      </c>
      <c r="J261" s="16">
        <v>0.1</v>
      </c>
      <c r="K261" s="15">
        <f t="shared" si="8"/>
        <v>28.8</v>
      </c>
      <c r="L261" s="15">
        <f>ROUND(K261*VLOOKUP(F261,Reference!$A$4:$B$7,2,FALSE()),2)</f>
        <v>6.34</v>
      </c>
      <c r="M261" t="s">
        <v>46</v>
      </c>
      <c r="N261" t="str">
        <f t="shared" si="9"/>
        <v>Sep-2024</v>
      </c>
    </row>
    <row r="262" spans="1:14" x14ac:dyDescent="0.3">
      <c r="A262">
        <v>10050</v>
      </c>
      <c r="B262" s="14" t="s">
        <v>608</v>
      </c>
      <c r="C262" t="s">
        <v>250</v>
      </c>
      <c r="D262" t="s">
        <v>306</v>
      </c>
      <c r="E262" t="s">
        <v>91</v>
      </c>
      <c r="F262" t="s">
        <v>44</v>
      </c>
      <c r="G262" t="s">
        <v>67</v>
      </c>
      <c r="H262">
        <v>4</v>
      </c>
      <c r="I262" s="15">
        <v>5.5</v>
      </c>
      <c r="J262" s="16">
        <v>0.1</v>
      </c>
      <c r="K262" s="15">
        <f t="shared" si="8"/>
        <v>19.8</v>
      </c>
      <c r="L262" s="15">
        <f>ROUND(K262*VLOOKUP(F262,Reference!$A$4:$B$7,2,FALSE()),2)</f>
        <v>6.93</v>
      </c>
      <c r="M262" t="s">
        <v>63</v>
      </c>
      <c r="N262" t="str">
        <f t="shared" si="9"/>
        <v>Sep-2024</v>
      </c>
    </row>
    <row r="263" spans="1:14" x14ac:dyDescent="0.3">
      <c r="A263">
        <v>10299</v>
      </c>
      <c r="B263" s="14" t="s">
        <v>608</v>
      </c>
      <c r="C263" t="s">
        <v>539</v>
      </c>
      <c r="D263" t="s">
        <v>224</v>
      </c>
      <c r="E263" t="s">
        <v>74</v>
      </c>
      <c r="F263" t="s">
        <v>44</v>
      </c>
      <c r="G263" t="s">
        <v>156</v>
      </c>
      <c r="H263">
        <v>8</v>
      </c>
      <c r="I263" s="15">
        <v>27</v>
      </c>
      <c r="J263" s="16">
        <v>0.15</v>
      </c>
      <c r="K263" s="15">
        <f t="shared" si="8"/>
        <v>183.6</v>
      </c>
      <c r="L263" s="15">
        <f>ROUND(K263*VLOOKUP(F263,Reference!$A$4:$B$7,2,FALSE()),2)</f>
        <v>64.260000000000005</v>
      </c>
      <c r="M263" t="s">
        <v>46</v>
      </c>
      <c r="N263" t="str">
        <f t="shared" si="9"/>
        <v>Sep-2024</v>
      </c>
    </row>
    <row r="264" spans="1:14" x14ac:dyDescent="0.3">
      <c r="A264">
        <v>10325</v>
      </c>
      <c r="B264" s="14" t="s">
        <v>591</v>
      </c>
      <c r="C264" t="s">
        <v>387</v>
      </c>
      <c r="D264" t="s">
        <v>592</v>
      </c>
      <c r="E264" t="s">
        <v>43</v>
      </c>
      <c r="F264" t="s">
        <v>56</v>
      </c>
      <c r="G264" t="s">
        <v>133</v>
      </c>
      <c r="H264">
        <v>8</v>
      </c>
      <c r="I264" s="15">
        <v>9.99</v>
      </c>
      <c r="J264" s="16">
        <v>0.1</v>
      </c>
      <c r="K264" s="15">
        <f t="shared" si="8"/>
        <v>71.930000000000007</v>
      </c>
      <c r="L264" s="15">
        <f>ROUND(K264*VLOOKUP(F264,Reference!$A$4:$B$7,2,FALSE()),2)</f>
        <v>15.82</v>
      </c>
      <c r="M264" t="s">
        <v>63</v>
      </c>
      <c r="N264" t="str">
        <f t="shared" si="9"/>
        <v>Sep-2024</v>
      </c>
    </row>
    <row r="265" spans="1:14" x14ac:dyDescent="0.3">
      <c r="A265">
        <v>10277</v>
      </c>
      <c r="B265" s="14" t="s">
        <v>506</v>
      </c>
      <c r="C265" t="s">
        <v>419</v>
      </c>
      <c r="D265" t="s">
        <v>455</v>
      </c>
      <c r="E265" t="s">
        <v>91</v>
      </c>
      <c r="F265" t="s">
        <v>50</v>
      </c>
      <c r="G265" t="s">
        <v>84</v>
      </c>
      <c r="H265">
        <v>6</v>
      </c>
      <c r="I265" s="15">
        <v>75.5</v>
      </c>
      <c r="J265" s="16">
        <v>0.2</v>
      </c>
      <c r="K265" s="15">
        <f t="shared" si="8"/>
        <v>362.4</v>
      </c>
      <c r="L265" s="15">
        <f>ROUND(K265*VLOOKUP(F265,Reference!$A$4:$B$7,2,FALSE()),2)</f>
        <v>65.23</v>
      </c>
      <c r="M265" t="s">
        <v>63</v>
      </c>
      <c r="N265" t="str">
        <f t="shared" si="9"/>
        <v>Sep-2024</v>
      </c>
    </row>
    <row r="266" spans="1:14" x14ac:dyDescent="0.3">
      <c r="A266">
        <v>10266</v>
      </c>
      <c r="B266" s="14" t="s">
        <v>191</v>
      </c>
      <c r="C266" t="s">
        <v>192</v>
      </c>
      <c r="D266" t="s">
        <v>193</v>
      </c>
      <c r="E266" t="s">
        <v>125</v>
      </c>
      <c r="F266" t="s">
        <v>56</v>
      </c>
      <c r="G266" t="s">
        <v>149</v>
      </c>
      <c r="H266">
        <v>3</v>
      </c>
      <c r="I266" s="15">
        <v>42</v>
      </c>
      <c r="J266" s="16">
        <v>0.1</v>
      </c>
      <c r="K266" s="15">
        <f t="shared" si="8"/>
        <v>113.4</v>
      </c>
      <c r="L266" s="15">
        <f>ROUND(K266*VLOOKUP(F266,Reference!$A$4:$B$7,2,FALSE()),2)</f>
        <v>24.95</v>
      </c>
      <c r="M266" t="s">
        <v>63</v>
      </c>
      <c r="N266" t="str">
        <f t="shared" si="9"/>
        <v>Sep-2024</v>
      </c>
    </row>
    <row r="267" spans="1:14" x14ac:dyDescent="0.3">
      <c r="A267">
        <v>10330</v>
      </c>
      <c r="B267" s="14" t="s">
        <v>191</v>
      </c>
      <c r="C267" t="s">
        <v>297</v>
      </c>
      <c r="D267" t="s">
        <v>277</v>
      </c>
      <c r="E267" t="s">
        <v>61</v>
      </c>
      <c r="F267" t="s">
        <v>44</v>
      </c>
      <c r="G267" t="s">
        <v>156</v>
      </c>
      <c r="H267">
        <v>2</v>
      </c>
      <c r="I267" s="15">
        <v>27</v>
      </c>
      <c r="J267" s="16">
        <v>0</v>
      </c>
      <c r="K267" s="15">
        <f t="shared" si="8"/>
        <v>54</v>
      </c>
      <c r="L267" s="15">
        <f>ROUND(K267*VLOOKUP(F267,Reference!$A$4:$B$7,2,FALSE()),2)</f>
        <v>18.899999999999999</v>
      </c>
      <c r="M267" t="s">
        <v>46</v>
      </c>
      <c r="N267" t="str">
        <f t="shared" si="9"/>
        <v>Sep-2024</v>
      </c>
    </row>
    <row r="268" spans="1:14" x14ac:dyDescent="0.3">
      <c r="A268">
        <v>10377</v>
      </c>
      <c r="B268" s="14" t="s">
        <v>289</v>
      </c>
      <c r="C268" t="s">
        <v>89</v>
      </c>
      <c r="D268" t="s">
        <v>590</v>
      </c>
      <c r="E268" t="s">
        <v>91</v>
      </c>
      <c r="F268" t="s">
        <v>75</v>
      </c>
      <c r="G268" t="s">
        <v>202</v>
      </c>
      <c r="H268">
        <v>4</v>
      </c>
      <c r="I268" s="15">
        <v>34.5</v>
      </c>
      <c r="J268" s="16">
        <v>0.05</v>
      </c>
      <c r="K268" s="15">
        <f t="shared" si="8"/>
        <v>131.1</v>
      </c>
      <c r="L268" s="15">
        <f>ROUND(K268*VLOOKUP(F268,Reference!$A$4:$B$7,2,FALSE()),2)</f>
        <v>36.71</v>
      </c>
      <c r="M268" t="s">
        <v>52</v>
      </c>
      <c r="N268" t="str">
        <f t="shared" si="9"/>
        <v>Sep-2024</v>
      </c>
    </row>
    <row r="269" spans="1:14" x14ac:dyDescent="0.3">
      <c r="A269">
        <v>10253</v>
      </c>
      <c r="B269" s="14" t="s">
        <v>289</v>
      </c>
      <c r="C269" t="s">
        <v>290</v>
      </c>
      <c r="D269" t="s">
        <v>170</v>
      </c>
      <c r="E269" t="s">
        <v>125</v>
      </c>
      <c r="F269" t="s">
        <v>50</v>
      </c>
      <c r="G269" t="s">
        <v>51</v>
      </c>
      <c r="H269">
        <v>10</v>
      </c>
      <c r="I269" s="15">
        <v>120</v>
      </c>
      <c r="J269" s="16">
        <v>0.1</v>
      </c>
      <c r="K269" s="15">
        <f t="shared" si="8"/>
        <v>1080</v>
      </c>
      <c r="L269" s="15">
        <f>ROUND(K269*VLOOKUP(F269,Reference!$A$4:$B$7,2,FALSE()),2)</f>
        <v>194.4</v>
      </c>
      <c r="M269" t="s">
        <v>63</v>
      </c>
      <c r="N269" t="str">
        <f t="shared" si="9"/>
        <v>Sep-2024</v>
      </c>
    </row>
    <row r="270" spans="1:14" x14ac:dyDescent="0.3">
      <c r="A270">
        <v>10158</v>
      </c>
      <c r="B270" s="14" t="s">
        <v>353</v>
      </c>
      <c r="C270" t="s">
        <v>503</v>
      </c>
      <c r="D270" t="s">
        <v>208</v>
      </c>
      <c r="E270" t="s">
        <v>43</v>
      </c>
      <c r="F270" t="s">
        <v>44</v>
      </c>
      <c r="G270" t="s">
        <v>106</v>
      </c>
      <c r="H270">
        <v>3</v>
      </c>
      <c r="I270" s="15">
        <v>6.75</v>
      </c>
      <c r="J270" s="16">
        <v>0.2</v>
      </c>
      <c r="K270" s="15">
        <f t="shared" si="8"/>
        <v>16.2</v>
      </c>
      <c r="L270" s="15">
        <f>ROUND(K270*VLOOKUP(F270,Reference!$A$4:$B$7,2,FALSE()),2)</f>
        <v>5.67</v>
      </c>
      <c r="M270" t="s">
        <v>63</v>
      </c>
      <c r="N270" t="str">
        <f t="shared" si="9"/>
        <v>Sep-2024</v>
      </c>
    </row>
    <row r="271" spans="1:14" x14ac:dyDescent="0.3">
      <c r="A271">
        <v>10350</v>
      </c>
      <c r="B271" s="14" t="s">
        <v>353</v>
      </c>
      <c r="C271" t="s">
        <v>250</v>
      </c>
      <c r="D271" t="s">
        <v>302</v>
      </c>
      <c r="E271" t="s">
        <v>74</v>
      </c>
      <c r="F271" t="s">
        <v>75</v>
      </c>
      <c r="G271" t="s">
        <v>76</v>
      </c>
      <c r="H271">
        <v>7</v>
      </c>
      <c r="I271" s="15">
        <v>22</v>
      </c>
      <c r="J271" s="16">
        <v>0</v>
      </c>
      <c r="K271" s="15">
        <f t="shared" si="8"/>
        <v>154</v>
      </c>
      <c r="L271" s="15">
        <f>ROUND(K271*VLOOKUP(F271,Reference!$A$4:$B$7,2,FALSE()),2)</f>
        <v>43.12</v>
      </c>
      <c r="M271" t="s">
        <v>63</v>
      </c>
      <c r="N271" t="str">
        <f t="shared" si="9"/>
        <v>Sep-2024</v>
      </c>
    </row>
    <row r="272" spans="1:14" x14ac:dyDescent="0.3">
      <c r="A272">
        <v>10313</v>
      </c>
      <c r="B272" s="14" t="s">
        <v>536</v>
      </c>
      <c r="C272" t="s">
        <v>197</v>
      </c>
      <c r="D272" t="s">
        <v>145</v>
      </c>
      <c r="E272" t="s">
        <v>43</v>
      </c>
      <c r="F272" t="s">
        <v>44</v>
      </c>
      <c r="G272" t="s">
        <v>146</v>
      </c>
      <c r="H272">
        <v>3</v>
      </c>
      <c r="I272" s="15">
        <v>3.1</v>
      </c>
      <c r="J272" s="16">
        <v>0.2</v>
      </c>
      <c r="K272" s="15">
        <f t="shared" si="8"/>
        <v>7.44</v>
      </c>
      <c r="L272" s="15">
        <f>ROUND(K272*VLOOKUP(F272,Reference!$A$4:$B$7,2,FALSE()),2)</f>
        <v>2.6</v>
      </c>
      <c r="M272" t="s">
        <v>52</v>
      </c>
      <c r="N272" t="str">
        <f t="shared" si="9"/>
        <v>Sep-2024</v>
      </c>
    </row>
    <row r="273" spans="1:14" x14ac:dyDescent="0.3">
      <c r="A273">
        <v>10161</v>
      </c>
      <c r="B273" s="14" t="s">
        <v>536</v>
      </c>
      <c r="C273" t="s">
        <v>151</v>
      </c>
      <c r="D273" t="s">
        <v>570</v>
      </c>
      <c r="E273" t="s">
        <v>61</v>
      </c>
      <c r="F273" t="s">
        <v>50</v>
      </c>
      <c r="G273" t="s">
        <v>51</v>
      </c>
      <c r="H273">
        <v>10</v>
      </c>
      <c r="I273" s="15">
        <v>120</v>
      </c>
      <c r="J273" s="16">
        <v>0</v>
      </c>
      <c r="K273" s="15">
        <f t="shared" si="8"/>
        <v>1200</v>
      </c>
      <c r="L273" s="15">
        <f>ROUND(K273*VLOOKUP(F273,Reference!$A$4:$B$7,2,FALSE()),2)</f>
        <v>216</v>
      </c>
      <c r="M273" t="s">
        <v>52</v>
      </c>
      <c r="N273" t="str">
        <f t="shared" si="9"/>
        <v>Sep-2024</v>
      </c>
    </row>
    <row r="274" spans="1:14" x14ac:dyDescent="0.3">
      <c r="A274">
        <v>10252</v>
      </c>
      <c r="B274" s="14" t="s">
        <v>234</v>
      </c>
      <c r="C274" t="s">
        <v>182</v>
      </c>
      <c r="D274" t="s">
        <v>235</v>
      </c>
      <c r="E274" t="s">
        <v>74</v>
      </c>
      <c r="F274" t="s">
        <v>44</v>
      </c>
      <c r="G274" t="s">
        <v>67</v>
      </c>
      <c r="H274">
        <v>9</v>
      </c>
      <c r="I274" s="15">
        <v>5.5</v>
      </c>
      <c r="J274" s="16">
        <v>0.2</v>
      </c>
      <c r="K274" s="15">
        <f t="shared" si="8"/>
        <v>39.6</v>
      </c>
      <c r="L274" s="15">
        <f>ROUND(K274*VLOOKUP(F274,Reference!$A$4:$B$7,2,FALSE()),2)</f>
        <v>13.86</v>
      </c>
      <c r="M274" t="s">
        <v>63</v>
      </c>
      <c r="N274" t="str">
        <f t="shared" si="9"/>
        <v>Sep-2024</v>
      </c>
    </row>
    <row r="275" spans="1:14" x14ac:dyDescent="0.3">
      <c r="A275">
        <v>10075</v>
      </c>
      <c r="B275" s="14" t="s">
        <v>234</v>
      </c>
      <c r="C275" t="s">
        <v>393</v>
      </c>
      <c r="D275" t="s">
        <v>394</v>
      </c>
      <c r="E275" t="s">
        <v>74</v>
      </c>
      <c r="F275" t="s">
        <v>56</v>
      </c>
      <c r="G275" t="s">
        <v>217</v>
      </c>
      <c r="H275">
        <v>6</v>
      </c>
      <c r="I275" s="15">
        <v>8</v>
      </c>
      <c r="J275" s="16">
        <v>0.15</v>
      </c>
      <c r="K275" s="15">
        <f t="shared" si="8"/>
        <v>40.799999999999997</v>
      </c>
      <c r="L275" s="15">
        <f>ROUND(K275*VLOOKUP(F275,Reference!$A$4:$B$7,2,FALSE()),2)</f>
        <v>8.98</v>
      </c>
      <c r="M275" t="s">
        <v>52</v>
      </c>
      <c r="N275" t="str">
        <f t="shared" si="9"/>
        <v>Sep-2024</v>
      </c>
    </row>
    <row r="276" spans="1:14" x14ac:dyDescent="0.3">
      <c r="A276">
        <v>10329</v>
      </c>
      <c r="B276" s="14" t="s">
        <v>234</v>
      </c>
      <c r="C276" t="s">
        <v>78</v>
      </c>
      <c r="D276" t="s">
        <v>343</v>
      </c>
      <c r="E276" t="s">
        <v>125</v>
      </c>
      <c r="F276" t="s">
        <v>56</v>
      </c>
      <c r="G276" t="s">
        <v>366</v>
      </c>
      <c r="H276">
        <v>1</v>
      </c>
      <c r="I276" s="15">
        <v>38.5</v>
      </c>
      <c r="J276" s="16">
        <v>0</v>
      </c>
      <c r="K276" s="15">
        <f t="shared" si="8"/>
        <v>38.5</v>
      </c>
      <c r="L276" s="15">
        <f>ROUND(K276*VLOOKUP(F276,Reference!$A$4:$B$7,2,FALSE()),2)</f>
        <v>8.4700000000000006</v>
      </c>
      <c r="M276" t="s">
        <v>63</v>
      </c>
      <c r="N276" t="str">
        <f t="shared" si="9"/>
        <v>Sep-2024</v>
      </c>
    </row>
    <row r="277" spans="1:14" x14ac:dyDescent="0.3">
      <c r="A277">
        <v>10296</v>
      </c>
      <c r="B277" s="14" t="s">
        <v>440</v>
      </c>
      <c r="C277" t="s">
        <v>305</v>
      </c>
      <c r="D277" t="s">
        <v>320</v>
      </c>
      <c r="E277" t="s">
        <v>74</v>
      </c>
      <c r="F277" t="s">
        <v>50</v>
      </c>
      <c r="G277" t="s">
        <v>62</v>
      </c>
      <c r="H277">
        <v>5</v>
      </c>
      <c r="I277" s="15">
        <v>65</v>
      </c>
      <c r="J277" s="16">
        <v>0.1</v>
      </c>
      <c r="K277" s="15">
        <f t="shared" si="8"/>
        <v>292.5</v>
      </c>
      <c r="L277" s="15">
        <f>ROUND(K277*VLOOKUP(F277,Reference!$A$4:$B$7,2,FALSE()),2)</f>
        <v>52.65</v>
      </c>
      <c r="M277" t="s">
        <v>63</v>
      </c>
      <c r="N277" t="str">
        <f t="shared" si="9"/>
        <v>Sep-2024</v>
      </c>
    </row>
    <row r="278" spans="1:14" x14ac:dyDescent="0.3">
      <c r="A278">
        <v>10068</v>
      </c>
      <c r="B278" s="14" t="s">
        <v>440</v>
      </c>
      <c r="C278" t="s">
        <v>441</v>
      </c>
      <c r="D278" t="s">
        <v>442</v>
      </c>
      <c r="E278" t="s">
        <v>61</v>
      </c>
      <c r="F278" t="s">
        <v>44</v>
      </c>
      <c r="G278" t="s">
        <v>67</v>
      </c>
      <c r="H278">
        <v>9</v>
      </c>
      <c r="I278" s="15">
        <v>5.5</v>
      </c>
      <c r="J278" s="16">
        <v>0.15</v>
      </c>
      <c r="K278" s="15">
        <f t="shared" si="8"/>
        <v>42.08</v>
      </c>
      <c r="L278" s="15">
        <f>ROUND(K278*VLOOKUP(F278,Reference!$A$4:$B$7,2,FALSE()),2)</f>
        <v>14.73</v>
      </c>
      <c r="M278" t="s">
        <v>63</v>
      </c>
      <c r="N278" t="str">
        <f t="shared" si="9"/>
        <v>Sep-2024</v>
      </c>
    </row>
    <row r="279" spans="1:14" x14ac:dyDescent="0.3">
      <c r="A279">
        <v>10284</v>
      </c>
      <c r="B279" s="14" t="s">
        <v>293</v>
      </c>
      <c r="C279" t="s">
        <v>294</v>
      </c>
      <c r="D279" t="s">
        <v>271</v>
      </c>
      <c r="E279" t="s">
        <v>125</v>
      </c>
      <c r="F279" t="s">
        <v>44</v>
      </c>
      <c r="G279" t="s">
        <v>146</v>
      </c>
      <c r="H279">
        <v>4</v>
      </c>
      <c r="I279" s="15">
        <v>3.1</v>
      </c>
      <c r="J279" s="16">
        <v>0.25</v>
      </c>
      <c r="K279" s="15">
        <f t="shared" si="8"/>
        <v>9.3000000000000007</v>
      </c>
      <c r="L279" s="15">
        <f>ROUND(K279*VLOOKUP(F279,Reference!$A$4:$B$7,2,FALSE()),2)</f>
        <v>3.26</v>
      </c>
      <c r="M279" t="s">
        <v>46</v>
      </c>
      <c r="N279" t="str">
        <f t="shared" si="9"/>
        <v>Oct-2024</v>
      </c>
    </row>
    <row r="280" spans="1:14" x14ac:dyDescent="0.3">
      <c r="A280">
        <v>10240</v>
      </c>
      <c r="B280" s="14" t="s">
        <v>388</v>
      </c>
      <c r="C280" t="s">
        <v>321</v>
      </c>
      <c r="D280" t="s">
        <v>389</v>
      </c>
      <c r="E280" t="s">
        <v>61</v>
      </c>
      <c r="F280" t="s">
        <v>50</v>
      </c>
      <c r="G280" t="s">
        <v>51</v>
      </c>
      <c r="H280">
        <v>5</v>
      </c>
      <c r="I280" s="15">
        <v>120</v>
      </c>
      <c r="J280" s="16">
        <v>0</v>
      </c>
      <c r="K280" s="15">
        <f t="shared" si="8"/>
        <v>600</v>
      </c>
      <c r="L280" s="15">
        <f>ROUND(K280*VLOOKUP(F280,Reference!$A$4:$B$7,2,FALSE()),2)</f>
        <v>108</v>
      </c>
      <c r="M280" t="s">
        <v>52</v>
      </c>
      <c r="N280" t="str">
        <f t="shared" si="9"/>
        <v>Oct-2024</v>
      </c>
    </row>
    <row r="281" spans="1:14" x14ac:dyDescent="0.3">
      <c r="A281">
        <v>10046</v>
      </c>
      <c r="B281" s="14" t="s">
        <v>388</v>
      </c>
      <c r="C281" t="s">
        <v>484</v>
      </c>
      <c r="D281" t="s">
        <v>49</v>
      </c>
      <c r="E281" t="s">
        <v>125</v>
      </c>
      <c r="F281" t="s">
        <v>44</v>
      </c>
      <c r="G281" t="s">
        <v>156</v>
      </c>
      <c r="H281">
        <v>2</v>
      </c>
      <c r="I281" s="15">
        <v>27</v>
      </c>
      <c r="J281" s="16">
        <v>0.15</v>
      </c>
      <c r="K281" s="15">
        <f t="shared" si="8"/>
        <v>45.9</v>
      </c>
      <c r="L281" s="15">
        <f>ROUND(K281*VLOOKUP(F281,Reference!$A$4:$B$7,2,FALSE()),2)</f>
        <v>16.07</v>
      </c>
      <c r="M281" t="s">
        <v>46</v>
      </c>
      <c r="N281" t="str">
        <f t="shared" si="9"/>
        <v>Oct-2024</v>
      </c>
    </row>
    <row r="282" spans="1:14" x14ac:dyDescent="0.3">
      <c r="A282">
        <v>10214</v>
      </c>
      <c r="B282" s="14" t="s">
        <v>388</v>
      </c>
      <c r="C282" t="s">
        <v>195</v>
      </c>
      <c r="D282" t="s">
        <v>152</v>
      </c>
      <c r="E282" t="s">
        <v>74</v>
      </c>
      <c r="F282" t="s">
        <v>44</v>
      </c>
      <c r="G282" t="s">
        <v>45</v>
      </c>
      <c r="H282">
        <v>2</v>
      </c>
      <c r="I282" s="15">
        <v>4.25</v>
      </c>
      <c r="J282" s="16">
        <v>0.05</v>
      </c>
      <c r="K282" s="15">
        <f t="shared" si="8"/>
        <v>8.08</v>
      </c>
      <c r="L282" s="15">
        <f>ROUND(K282*VLOOKUP(F282,Reference!$A$4:$B$7,2,FALSE()),2)</f>
        <v>2.83</v>
      </c>
      <c r="M282" t="s">
        <v>46</v>
      </c>
      <c r="N282" t="str">
        <f t="shared" si="9"/>
        <v>Oct-2024</v>
      </c>
    </row>
    <row r="283" spans="1:14" x14ac:dyDescent="0.3">
      <c r="A283">
        <v>10259</v>
      </c>
      <c r="B283" s="14" t="s">
        <v>278</v>
      </c>
      <c r="C283" t="s">
        <v>93</v>
      </c>
      <c r="D283" t="s">
        <v>458</v>
      </c>
      <c r="E283" t="s">
        <v>74</v>
      </c>
      <c r="F283" t="s">
        <v>56</v>
      </c>
      <c r="G283" t="s">
        <v>149</v>
      </c>
      <c r="H283">
        <v>2</v>
      </c>
      <c r="I283" s="15">
        <v>42</v>
      </c>
      <c r="J283" s="16">
        <v>0.15</v>
      </c>
      <c r="K283" s="15">
        <f t="shared" si="8"/>
        <v>71.400000000000006</v>
      </c>
      <c r="L283" s="15">
        <f>ROUND(K283*VLOOKUP(F283,Reference!$A$4:$B$7,2,FALSE()),2)</f>
        <v>15.71</v>
      </c>
      <c r="M283" t="s">
        <v>63</v>
      </c>
      <c r="N283" t="str">
        <f t="shared" si="9"/>
        <v>Oct-2024</v>
      </c>
    </row>
    <row r="284" spans="1:14" x14ac:dyDescent="0.3">
      <c r="A284">
        <v>10063</v>
      </c>
      <c r="B284" s="14" t="s">
        <v>278</v>
      </c>
      <c r="C284" t="s">
        <v>120</v>
      </c>
      <c r="D284" t="s">
        <v>279</v>
      </c>
      <c r="E284" t="s">
        <v>43</v>
      </c>
      <c r="F284" t="s">
        <v>44</v>
      </c>
      <c r="G284" t="s">
        <v>45</v>
      </c>
      <c r="H284">
        <v>2</v>
      </c>
      <c r="I284" s="15">
        <v>4.25</v>
      </c>
      <c r="J284" s="16">
        <v>0</v>
      </c>
      <c r="K284" s="15">
        <f t="shared" si="8"/>
        <v>8.5</v>
      </c>
      <c r="L284" s="15">
        <f>ROUND(K284*VLOOKUP(F284,Reference!$A$4:$B$7,2,FALSE()),2)</f>
        <v>2.98</v>
      </c>
      <c r="M284" t="s">
        <v>63</v>
      </c>
      <c r="N284" t="str">
        <f t="shared" si="9"/>
        <v>Oct-2024</v>
      </c>
    </row>
    <row r="285" spans="1:14" x14ac:dyDescent="0.3">
      <c r="A285">
        <v>10360</v>
      </c>
      <c r="B285" s="14" t="s">
        <v>278</v>
      </c>
      <c r="C285" t="s">
        <v>406</v>
      </c>
      <c r="D285" t="s">
        <v>455</v>
      </c>
      <c r="E285" t="s">
        <v>74</v>
      </c>
      <c r="F285" t="s">
        <v>44</v>
      </c>
      <c r="G285" t="s">
        <v>146</v>
      </c>
      <c r="H285">
        <v>4</v>
      </c>
      <c r="I285" s="15">
        <v>3.1</v>
      </c>
      <c r="J285" s="16">
        <v>0</v>
      </c>
      <c r="K285" s="15">
        <f t="shared" si="8"/>
        <v>12.4</v>
      </c>
      <c r="L285" s="15">
        <f>ROUND(K285*VLOOKUP(F285,Reference!$A$4:$B$7,2,FALSE()),2)</f>
        <v>4.34</v>
      </c>
      <c r="M285" t="s">
        <v>52</v>
      </c>
      <c r="N285" t="str">
        <f t="shared" si="9"/>
        <v>Oct-2024</v>
      </c>
    </row>
    <row r="286" spans="1:14" x14ac:dyDescent="0.3">
      <c r="A286">
        <v>10028</v>
      </c>
      <c r="B286" s="14" t="s">
        <v>137</v>
      </c>
      <c r="C286" t="s">
        <v>138</v>
      </c>
      <c r="D286" t="s">
        <v>515</v>
      </c>
      <c r="E286" t="s">
        <v>43</v>
      </c>
      <c r="F286" t="s">
        <v>44</v>
      </c>
      <c r="G286" t="s">
        <v>67</v>
      </c>
      <c r="H286">
        <v>1</v>
      </c>
      <c r="I286" s="15">
        <v>5.5</v>
      </c>
      <c r="J286" s="16">
        <v>0.25</v>
      </c>
      <c r="K286" s="15">
        <f t="shared" si="8"/>
        <v>4.13</v>
      </c>
      <c r="L286" s="15">
        <f>ROUND(K286*VLOOKUP(F286,Reference!$A$4:$B$7,2,FALSE()),2)</f>
        <v>1.45</v>
      </c>
      <c r="M286" t="s">
        <v>63</v>
      </c>
      <c r="N286" t="str">
        <f t="shared" si="9"/>
        <v>Oct-2024</v>
      </c>
    </row>
    <row r="287" spans="1:14" x14ac:dyDescent="0.3">
      <c r="A287">
        <v>10328</v>
      </c>
      <c r="B287" s="14" t="s">
        <v>137</v>
      </c>
      <c r="C287" t="s">
        <v>138</v>
      </c>
      <c r="D287" t="s">
        <v>139</v>
      </c>
      <c r="E287" t="s">
        <v>74</v>
      </c>
      <c r="F287" t="s">
        <v>75</v>
      </c>
      <c r="G287" t="s">
        <v>76</v>
      </c>
      <c r="H287">
        <v>1</v>
      </c>
      <c r="I287" s="15">
        <v>22</v>
      </c>
      <c r="J287" s="16">
        <v>0.2</v>
      </c>
      <c r="K287" s="15">
        <f t="shared" si="8"/>
        <v>17.600000000000001</v>
      </c>
      <c r="L287" s="15">
        <f>ROUND(K287*VLOOKUP(F287,Reference!$A$4:$B$7,2,FALSE()),2)</f>
        <v>4.93</v>
      </c>
      <c r="M287" t="s">
        <v>63</v>
      </c>
      <c r="N287" t="str">
        <f t="shared" si="9"/>
        <v>Oct-2024</v>
      </c>
    </row>
    <row r="288" spans="1:14" x14ac:dyDescent="0.3">
      <c r="A288">
        <v>10249</v>
      </c>
      <c r="B288" s="14" t="s">
        <v>350</v>
      </c>
      <c r="C288" t="s">
        <v>285</v>
      </c>
      <c r="D288" t="s">
        <v>343</v>
      </c>
      <c r="E288" t="s">
        <v>61</v>
      </c>
      <c r="F288" t="s">
        <v>50</v>
      </c>
      <c r="G288" t="s">
        <v>99</v>
      </c>
      <c r="H288">
        <v>1</v>
      </c>
      <c r="I288" s="15">
        <v>15</v>
      </c>
      <c r="J288" s="16">
        <v>0</v>
      </c>
      <c r="K288" s="15">
        <f t="shared" si="8"/>
        <v>15</v>
      </c>
      <c r="L288" s="15">
        <f>ROUND(K288*VLOOKUP(F288,Reference!$A$4:$B$7,2,FALSE()),2)</f>
        <v>2.7</v>
      </c>
      <c r="M288" t="s">
        <v>63</v>
      </c>
      <c r="N288" t="str">
        <f t="shared" si="9"/>
        <v>Oct-2024</v>
      </c>
    </row>
    <row r="289" spans="1:14" x14ac:dyDescent="0.3">
      <c r="A289">
        <v>10314</v>
      </c>
      <c r="B289" s="14" t="s">
        <v>350</v>
      </c>
      <c r="C289" t="s">
        <v>351</v>
      </c>
      <c r="D289" t="s">
        <v>352</v>
      </c>
      <c r="E289" t="s">
        <v>125</v>
      </c>
      <c r="F289" t="s">
        <v>56</v>
      </c>
      <c r="G289" t="s">
        <v>133</v>
      </c>
      <c r="H289">
        <v>1</v>
      </c>
      <c r="I289" s="15">
        <v>9.99</v>
      </c>
      <c r="J289" s="16">
        <v>0</v>
      </c>
      <c r="K289" s="15">
        <f t="shared" si="8"/>
        <v>9.99</v>
      </c>
      <c r="L289" s="15">
        <f>ROUND(K289*VLOOKUP(F289,Reference!$A$4:$B$7,2,FALSE()),2)</f>
        <v>2.2000000000000002</v>
      </c>
      <c r="M289" t="s">
        <v>63</v>
      </c>
      <c r="N289" t="str">
        <f t="shared" si="9"/>
        <v>Oct-2024</v>
      </c>
    </row>
    <row r="290" spans="1:14" x14ac:dyDescent="0.3">
      <c r="A290">
        <v>10107</v>
      </c>
      <c r="B290" s="14" t="s">
        <v>350</v>
      </c>
      <c r="C290" t="s">
        <v>486</v>
      </c>
      <c r="D290" t="s">
        <v>487</v>
      </c>
      <c r="E290" t="s">
        <v>125</v>
      </c>
      <c r="F290" t="s">
        <v>75</v>
      </c>
      <c r="G290" t="s">
        <v>95</v>
      </c>
      <c r="H290">
        <v>6</v>
      </c>
      <c r="I290" s="15">
        <v>18.75</v>
      </c>
      <c r="J290" s="16">
        <v>0.1</v>
      </c>
      <c r="K290" s="15">
        <f t="shared" si="8"/>
        <v>101.25</v>
      </c>
      <c r="L290" s="15">
        <f>ROUND(K290*VLOOKUP(F290,Reference!$A$4:$B$7,2,FALSE()),2)</f>
        <v>28.35</v>
      </c>
      <c r="M290" t="s">
        <v>52</v>
      </c>
      <c r="N290" t="str">
        <f t="shared" si="9"/>
        <v>Oct-2024</v>
      </c>
    </row>
    <row r="291" spans="1:14" x14ac:dyDescent="0.3">
      <c r="A291">
        <v>10272</v>
      </c>
      <c r="B291" s="14" t="s">
        <v>386</v>
      </c>
      <c r="C291" t="s">
        <v>476</v>
      </c>
      <c r="D291" t="s">
        <v>246</v>
      </c>
      <c r="E291" t="s">
        <v>43</v>
      </c>
      <c r="F291" t="s">
        <v>56</v>
      </c>
      <c r="G291" t="s">
        <v>149</v>
      </c>
      <c r="H291">
        <v>8</v>
      </c>
      <c r="I291" s="15">
        <v>42</v>
      </c>
      <c r="J291" s="16">
        <v>0.1</v>
      </c>
      <c r="K291" s="15">
        <f t="shared" si="8"/>
        <v>302.39999999999998</v>
      </c>
      <c r="L291" s="15">
        <f>ROUND(K291*VLOOKUP(F291,Reference!$A$4:$B$7,2,FALSE()),2)</f>
        <v>66.53</v>
      </c>
      <c r="M291" t="s">
        <v>46</v>
      </c>
      <c r="N291" t="str">
        <f t="shared" si="9"/>
        <v>Oct-2024</v>
      </c>
    </row>
    <row r="292" spans="1:14" x14ac:dyDescent="0.3">
      <c r="A292">
        <v>10025</v>
      </c>
      <c r="B292" s="14" t="s">
        <v>386</v>
      </c>
      <c r="C292" t="s">
        <v>387</v>
      </c>
      <c r="D292" t="s">
        <v>87</v>
      </c>
      <c r="E292" t="s">
        <v>43</v>
      </c>
      <c r="F292" t="s">
        <v>75</v>
      </c>
      <c r="G292" t="s">
        <v>303</v>
      </c>
      <c r="H292">
        <v>1</v>
      </c>
      <c r="I292" s="15">
        <v>29.99</v>
      </c>
      <c r="J292" s="16">
        <v>0</v>
      </c>
      <c r="K292" s="15">
        <f t="shared" si="8"/>
        <v>29.99</v>
      </c>
      <c r="L292" s="15">
        <f>ROUND(K292*VLOOKUP(F292,Reference!$A$4:$B$7,2,FALSE()),2)</f>
        <v>8.4</v>
      </c>
      <c r="M292" t="s">
        <v>52</v>
      </c>
      <c r="N292" t="str">
        <f t="shared" si="9"/>
        <v>Oct-2024</v>
      </c>
    </row>
    <row r="293" spans="1:14" x14ac:dyDescent="0.3">
      <c r="A293">
        <v>10188</v>
      </c>
      <c r="B293" s="14" t="s">
        <v>207</v>
      </c>
      <c r="C293" t="s">
        <v>128</v>
      </c>
      <c r="D293" t="s">
        <v>515</v>
      </c>
      <c r="E293" t="s">
        <v>91</v>
      </c>
      <c r="F293" t="s">
        <v>50</v>
      </c>
      <c r="G293" t="s">
        <v>51</v>
      </c>
      <c r="H293">
        <v>7</v>
      </c>
      <c r="I293" s="15">
        <v>120</v>
      </c>
      <c r="J293" s="16">
        <v>0</v>
      </c>
      <c r="K293" s="15">
        <f t="shared" si="8"/>
        <v>840</v>
      </c>
      <c r="L293" s="15">
        <f>ROUND(K293*VLOOKUP(F293,Reference!$A$4:$B$7,2,FALSE()),2)</f>
        <v>151.19999999999999</v>
      </c>
      <c r="M293" t="s">
        <v>52</v>
      </c>
      <c r="N293" t="str">
        <f t="shared" si="9"/>
        <v>Oct-2024</v>
      </c>
    </row>
    <row r="294" spans="1:14" x14ac:dyDescent="0.3">
      <c r="A294">
        <v>10190</v>
      </c>
      <c r="B294" s="14" t="s">
        <v>207</v>
      </c>
      <c r="C294" t="s">
        <v>59</v>
      </c>
      <c r="D294" t="s">
        <v>208</v>
      </c>
      <c r="E294" t="s">
        <v>74</v>
      </c>
      <c r="F294" t="s">
        <v>50</v>
      </c>
      <c r="G294" t="s">
        <v>62</v>
      </c>
      <c r="H294">
        <v>10</v>
      </c>
      <c r="I294" s="15">
        <v>65</v>
      </c>
      <c r="J294" s="16">
        <v>0</v>
      </c>
      <c r="K294" s="15">
        <f t="shared" si="8"/>
        <v>650</v>
      </c>
      <c r="L294" s="15">
        <f>ROUND(K294*VLOOKUP(F294,Reference!$A$4:$B$7,2,FALSE()),2)</f>
        <v>117</v>
      </c>
      <c r="M294" t="s">
        <v>46</v>
      </c>
      <c r="N294" t="str">
        <f t="shared" si="9"/>
        <v>Oct-2024</v>
      </c>
    </row>
    <row r="295" spans="1:14" x14ac:dyDescent="0.3">
      <c r="A295">
        <v>10162</v>
      </c>
      <c r="B295" s="14" t="s">
        <v>281</v>
      </c>
      <c r="C295" t="s">
        <v>385</v>
      </c>
      <c r="D295" t="s">
        <v>515</v>
      </c>
      <c r="E295" t="s">
        <v>43</v>
      </c>
      <c r="F295" t="s">
        <v>75</v>
      </c>
      <c r="G295" t="s">
        <v>76</v>
      </c>
      <c r="H295">
        <v>2</v>
      </c>
      <c r="I295" s="15">
        <v>22</v>
      </c>
      <c r="J295" s="16">
        <v>0</v>
      </c>
      <c r="K295" s="15">
        <f t="shared" si="8"/>
        <v>44</v>
      </c>
      <c r="L295" s="15">
        <f>ROUND(K295*VLOOKUP(F295,Reference!$A$4:$B$7,2,FALSE()),2)</f>
        <v>12.32</v>
      </c>
      <c r="M295" t="s">
        <v>52</v>
      </c>
      <c r="N295" t="str">
        <f t="shared" si="9"/>
        <v>Oct-2024</v>
      </c>
    </row>
    <row r="296" spans="1:14" x14ac:dyDescent="0.3">
      <c r="A296">
        <v>10122</v>
      </c>
      <c r="B296" s="14" t="s">
        <v>281</v>
      </c>
      <c r="C296" t="s">
        <v>476</v>
      </c>
      <c r="D296" t="s">
        <v>259</v>
      </c>
      <c r="E296" t="s">
        <v>125</v>
      </c>
      <c r="F296" t="s">
        <v>50</v>
      </c>
      <c r="G296" t="s">
        <v>51</v>
      </c>
      <c r="H296">
        <v>6</v>
      </c>
      <c r="I296" s="15">
        <v>120</v>
      </c>
      <c r="J296" s="16">
        <v>0</v>
      </c>
      <c r="K296" s="15">
        <f t="shared" si="8"/>
        <v>720</v>
      </c>
      <c r="L296" s="15">
        <f>ROUND(K296*VLOOKUP(F296,Reference!$A$4:$B$7,2,FALSE()),2)</f>
        <v>129.6</v>
      </c>
      <c r="M296" t="s">
        <v>52</v>
      </c>
      <c r="N296" t="str">
        <f t="shared" si="9"/>
        <v>Oct-2024</v>
      </c>
    </row>
    <row r="297" spans="1:14" x14ac:dyDescent="0.3">
      <c r="A297">
        <v>10326</v>
      </c>
      <c r="B297" s="14" t="s">
        <v>281</v>
      </c>
      <c r="C297" t="s">
        <v>282</v>
      </c>
      <c r="D297" t="s">
        <v>118</v>
      </c>
      <c r="E297" t="s">
        <v>61</v>
      </c>
      <c r="F297" t="s">
        <v>75</v>
      </c>
      <c r="G297" t="s">
        <v>76</v>
      </c>
      <c r="H297">
        <v>4</v>
      </c>
      <c r="I297" s="15">
        <v>22</v>
      </c>
      <c r="J297" s="16">
        <v>0.1</v>
      </c>
      <c r="K297" s="15">
        <f t="shared" si="8"/>
        <v>79.2</v>
      </c>
      <c r="L297" s="15">
        <f>ROUND(K297*VLOOKUP(F297,Reference!$A$4:$B$7,2,FALSE()),2)</f>
        <v>22.18</v>
      </c>
      <c r="M297" t="s">
        <v>63</v>
      </c>
      <c r="N297" t="str">
        <f t="shared" si="9"/>
        <v>Oct-2024</v>
      </c>
    </row>
    <row r="298" spans="1:14" x14ac:dyDescent="0.3">
      <c r="A298">
        <v>10229</v>
      </c>
      <c r="B298" s="14" t="s">
        <v>64</v>
      </c>
      <c r="C298" t="s">
        <v>65</v>
      </c>
      <c r="D298" t="s">
        <v>66</v>
      </c>
      <c r="E298" t="s">
        <v>61</v>
      </c>
      <c r="F298" t="s">
        <v>44</v>
      </c>
      <c r="G298" t="s">
        <v>67</v>
      </c>
      <c r="H298">
        <v>7</v>
      </c>
      <c r="I298" s="15">
        <v>5.5</v>
      </c>
      <c r="J298" s="16">
        <v>0.1</v>
      </c>
      <c r="K298" s="15">
        <f t="shared" si="8"/>
        <v>34.65</v>
      </c>
      <c r="L298" s="15">
        <f>ROUND(K298*VLOOKUP(F298,Reference!$A$4:$B$7,2,FALSE()),2)</f>
        <v>12.13</v>
      </c>
      <c r="M298" t="s">
        <v>63</v>
      </c>
      <c r="N298" t="str">
        <f t="shared" si="9"/>
        <v>Oct-2024</v>
      </c>
    </row>
    <row r="299" spans="1:14" x14ac:dyDescent="0.3">
      <c r="A299">
        <v>10331</v>
      </c>
      <c r="B299" s="14" t="s">
        <v>468</v>
      </c>
      <c r="C299" t="s">
        <v>299</v>
      </c>
      <c r="D299" t="s">
        <v>469</v>
      </c>
      <c r="E299" t="s">
        <v>43</v>
      </c>
      <c r="F299" t="s">
        <v>56</v>
      </c>
      <c r="G299" t="s">
        <v>149</v>
      </c>
      <c r="H299">
        <v>4</v>
      </c>
      <c r="I299" s="15">
        <v>42</v>
      </c>
      <c r="J299" s="16">
        <v>0.1</v>
      </c>
      <c r="K299" s="15">
        <f t="shared" si="8"/>
        <v>151.19999999999999</v>
      </c>
      <c r="L299" s="15">
        <f>ROUND(K299*VLOOKUP(F299,Reference!$A$4:$B$7,2,FALSE()),2)</f>
        <v>33.26</v>
      </c>
      <c r="M299" t="s">
        <v>46</v>
      </c>
      <c r="N299" t="str">
        <f t="shared" si="9"/>
        <v>Oct-2024</v>
      </c>
    </row>
    <row r="300" spans="1:14" x14ac:dyDescent="0.3">
      <c r="A300">
        <v>10030</v>
      </c>
      <c r="B300" s="14" t="s">
        <v>361</v>
      </c>
      <c r="C300" t="s">
        <v>297</v>
      </c>
      <c r="D300" t="s">
        <v>455</v>
      </c>
      <c r="E300" t="s">
        <v>125</v>
      </c>
      <c r="F300" t="s">
        <v>75</v>
      </c>
      <c r="G300" t="s">
        <v>303</v>
      </c>
      <c r="H300">
        <v>2</v>
      </c>
      <c r="I300" s="15">
        <v>29.99</v>
      </c>
      <c r="J300" s="16">
        <v>0.2</v>
      </c>
      <c r="K300" s="15">
        <f t="shared" si="8"/>
        <v>47.98</v>
      </c>
      <c r="L300" s="15">
        <f>ROUND(K300*VLOOKUP(F300,Reference!$A$4:$B$7,2,FALSE()),2)</f>
        <v>13.43</v>
      </c>
      <c r="M300" t="s">
        <v>52</v>
      </c>
      <c r="N300" t="str">
        <f t="shared" si="9"/>
        <v>Oct-2024</v>
      </c>
    </row>
    <row r="301" spans="1:14" x14ac:dyDescent="0.3">
      <c r="A301">
        <v>10048</v>
      </c>
      <c r="B301" s="14" t="s">
        <v>361</v>
      </c>
      <c r="C301" t="s">
        <v>97</v>
      </c>
      <c r="D301" t="s">
        <v>362</v>
      </c>
      <c r="E301" t="s">
        <v>74</v>
      </c>
      <c r="F301" t="s">
        <v>56</v>
      </c>
      <c r="G301" t="s">
        <v>217</v>
      </c>
      <c r="H301">
        <v>1</v>
      </c>
      <c r="I301" s="15">
        <v>8</v>
      </c>
      <c r="J301" s="16">
        <v>0.1</v>
      </c>
      <c r="K301" s="15">
        <f t="shared" si="8"/>
        <v>7.2</v>
      </c>
      <c r="L301" s="15">
        <f>ROUND(K301*VLOOKUP(F301,Reference!$A$4:$B$7,2,FALSE()),2)</f>
        <v>1.58</v>
      </c>
      <c r="M301" t="s">
        <v>46</v>
      </c>
      <c r="N301" t="str">
        <f t="shared" si="9"/>
        <v>Oct-2024</v>
      </c>
    </row>
    <row r="302" spans="1:14" x14ac:dyDescent="0.3">
      <c r="A302">
        <v>10022</v>
      </c>
      <c r="B302" s="14" t="s">
        <v>324</v>
      </c>
      <c r="C302" t="s">
        <v>325</v>
      </c>
      <c r="D302" t="s">
        <v>326</v>
      </c>
      <c r="E302" t="s">
        <v>91</v>
      </c>
      <c r="F302" t="s">
        <v>56</v>
      </c>
      <c r="G302" t="s">
        <v>149</v>
      </c>
      <c r="H302">
        <v>8</v>
      </c>
      <c r="I302" s="15">
        <v>42</v>
      </c>
      <c r="J302" s="16">
        <v>0.2</v>
      </c>
      <c r="K302" s="15">
        <f t="shared" si="8"/>
        <v>268.8</v>
      </c>
      <c r="L302" s="15">
        <f>ROUND(K302*VLOOKUP(F302,Reference!$A$4:$B$7,2,FALSE()),2)</f>
        <v>59.14</v>
      </c>
      <c r="M302" t="s">
        <v>52</v>
      </c>
      <c r="N302" t="str">
        <f t="shared" si="9"/>
        <v>Oct-2024</v>
      </c>
    </row>
    <row r="303" spans="1:14" x14ac:dyDescent="0.3">
      <c r="A303">
        <v>10066</v>
      </c>
      <c r="B303" s="14" t="s">
        <v>606</v>
      </c>
      <c r="C303" t="s">
        <v>600</v>
      </c>
      <c r="D303" t="s">
        <v>607</v>
      </c>
      <c r="E303" t="s">
        <v>43</v>
      </c>
      <c r="F303" t="s">
        <v>44</v>
      </c>
      <c r="G303" t="s">
        <v>106</v>
      </c>
      <c r="H303">
        <v>7</v>
      </c>
      <c r="I303" s="15">
        <v>6.75</v>
      </c>
      <c r="J303" s="16">
        <v>0.2</v>
      </c>
      <c r="K303" s="15">
        <f t="shared" si="8"/>
        <v>37.799999999999997</v>
      </c>
      <c r="L303" s="15">
        <f>ROUND(K303*VLOOKUP(F303,Reference!$A$4:$B$7,2,FALSE()),2)</f>
        <v>13.23</v>
      </c>
      <c r="M303" t="s">
        <v>46</v>
      </c>
      <c r="N303" t="str">
        <f t="shared" si="9"/>
        <v>Oct-2024</v>
      </c>
    </row>
    <row r="304" spans="1:14" x14ac:dyDescent="0.3">
      <c r="A304">
        <v>10223</v>
      </c>
      <c r="B304" s="14" t="s">
        <v>560</v>
      </c>
      <c r="C304" t="s">
        <v>452</v>
      </c>
      <c r="D304" t="s">
        <v>561</v>
      </c>
      <c r="E304" t="s">
        <v>91</v>
      </c>
      <c r="F304" t="s">
        <v>75</v>
      </c>
      <c r="G304" t="s">
        <v>76</v>
      </c>
      <c r="H304">
        <v>6</v>
      </c>
      <c r="I304" s="15">
        <v>22</v>
      </c>
      <c r="J304" s="16">
        <v>0.05</v>
      </c>
      <c r="K304" s="15">
        <f t="shared" si="8"/>
        <v>125.4</v>
      </c>
      <c r="L304" s="15">
        <f>ROUND(K304*VLOOKUP(F304,Reference!$A$4:$B$7,2,FALSE()),2)</f>
        <v>35.11</v>
      </c>
      <c r="M304" t="s">
        <v>52</v>
      </c>
      <c r="N304" t="str">
        <f t="shared" si="9"/>
        <v>Oct-2024</v>
      </c>
    </row>
    <row r="305" spans="1:14" x14ac:dyDescent="0.3">
      <c r="A305">
        <v>10118</v>
      </c>
      <c r="B305" s="14" t="s">
        <v>307</v>
      </c>
      <c r="C305" t="s">
        <v>232</v>
      </c>
      <c r="D305" t="s">
        <v>308</v>
      </c>
      <c r="E305" t="s">
        <v>125</v>
      </c>
      <c r="F305" t="s">
        <v>56</v>
      </c>
      <c r="G305" t="s">
        <v>133</v>
      </c>
      <c r="H305">
        <v>8</v>
      </c>
      <c r="I305" s="15">
        <v>9.99</v>
      </c>
      <c r="J305" s="16">
        <v>0.2</v>
      </c>
      <c r="K305" s="15">
        <f t="shared" si="8"/>
        <v>63.94</v>
      </c>
      <c r="L305" s="15">
        <f>ROUND(K305*VLOOKUP(F305,Reference!$A$4:$B$7,2,FALSE()),2)</f>
        <v>14.07</v>
      </c>
      <c r="M305" t="s">
        <v>46</v>
      </c>
      <c r="N305" t="str">
        <f t="shared" si="9"/>
        <v>Oct-2024</v>
      </c>
    </row>
    <row r="306" spans="1:14" x14ac:dyDescent="0.3">
      <c r="A306">
        <v>10258</v>
      </c>
      <c r="B306" s="14" t="s">
        <v>307</v>
      </c>
      <c r="C306" t="s">
        <v>543</v>
      </c>
      <c r="D306" t="s">
        <v>145</v>
      </c>
      <c r="E306" t="s">
        <v>125</v>
      </c>
      <c r="F306" t="s">
        <v>56</v>
      </c>
      <c r="G306" t="s">
        <v>133</v>
      </c>
      <c r="H306">
        <v>5</v>
      </c>
      <c r="I306" s="15">
        <v>9.99</v>
      </c>
      <c r="J306" s="16">
        <v>0</v>
      </c>
      <c r="K306" s="15">
        <f t="shared" si="8"/>
        <v>49.95</v>
      </c>
      <c r="L306" s="15">
        <f>ROUND(K306*VLOOKUP(F306,Reference!$A$4:$B$7,2,FALSE()),2)</f>
        <v>10.99</v>
      </c>
      <c r="M306" t="s">
        <v>46</v>
      </c>
      <c r="N306" t="str">
        <f t="shared" si="9"/>
        <v>Oct-2024</v>
      </c>
    </row>
    <row r="307" spans="1:14" x14ac:dyDescent="0.3">
      <c r="A307">
        <v>10310</v>
      </c>
      <c r="B307" s="14" t="s">
        <v>88</v>
      </c>
      <c r="C307" t="s">
        <v>472</v>
      </c>
      <c r="D307" t="s">
        <v>266</v>
      </c>
      <c r="E307" t="s">
        <v>61</v>
      </c>
      <c r="F307" t="s">
        <v>44</v>
      </c>
      <c r="G307" t="s">
        <v>156</v>
      </c>
      <c r="H307">
        <v>6</v>
      </c>
      <c r="I307" s="15">
        <v>27</v>
      </c>
      <c r="J307" s="16">
        <v>0</v>
      </c>
      <c r="K307" s="15">
        <f t="shared" si="8"/>
        <v>162</v>
      </c>
      <c r="L307" s="15">
        <f>ROUND(K307*VLOOKUP(F307,Reference!$A$4:$B$7,2,FALSE()),2)</f>
        <v>56.7</v>
      </c>
      <c r="M307" t="s">
        <v>46</v>
      </c>
      <c r="N307" t="str">
        <f t="shared" si="9"/>
        <v>Oct-2024</v>
      </c>
    </row>
    <row r="308" spans="1:14" x14ac:dyDescent="0.3">
      <c r="A308">
        <v>10077</v>
      </c>
      <c r="B308" s="14" t="s">
        <v>88</v>
      </c>
      <c r="C308" t="s">
        <v>89</v>
      </c>
      <c r="D308" t="s">
        <v>90</v>
      </c>
      <c r="E308" t="s">
        <v>91</v>
      </c>
      <c r="F308" t="s">
        <v>44</v>
      </c>
      <c r="G308" t="s">
        <v>67</v>
      </c>
      <c r="H308">
        <v>4</v>
      </c>
      <c r="I308" s="15">
        <v>5.5</v>
      </c>
      <c r="J308" s="16">
        <v>0.1</v>
      </c>
      <c r="K308" s="15">
        <f t="shared" si="8"/>
        <v>19.8</v>
      </c>
      <c r="L308" s="15">
        <f>ROUND(K308*VLOOKUP(F308,Reference!$A$4:$B$7,2,FALSE()),2)</f>
        <v>6.93</v>
      </c>
      <c r="M308" t="s">
        <v>63</v>
      </c>
      <c r="N308" t="str">
        <f t="shared" si="9"/>
        <v>Oct-2024</v>
      </c>
    </row>
    <row r="309" spans="1:14" x14ac:dyDescent="0.3">
      <c r="A309">
        <v>10002</v>
      </c>
      <c r="B309" s="14" t="s">
        <v>257</v>
      </c>
      <c r="C309" t="s">
        <v>258</v>
      </c>
      <c r="D309" t="s">
        <v>259</v>
      </c>
      <c r="E309" t="s">
        <v>61</v>
      </c>
      <c r="F309" t="s">
        <v>75</v>
      </c>
      <c r="G309" t="s">
        <v>126</v>
      </c>
      <c r="H309">
        <v>2</v>
      </c>
      <c r="I309" s="15">
        <v>12.99</v>
      </c>
      <c r="J309" s="16">
        <v>0.05</v>
      </c>
      <c r="K309" s="15">
        <f t="shared" si="8"/>
        <v>24.68</v>
      </c>
      <c r="L309" s="15">
        <f>ROUND(K309*VLOOKUP(F309,Reference!$A$4:$B$7,2,FALSE()),2)</f>
        <v>6.91</v>
      </c>
      <c r="M309" t="s">
        <v>46</v>
      </c>
      <c r="N309" t="str">
        <f t="shared" si="9"/>
        <v>Oct-2024</v>
      </c>
    </row>
    <row r="310" spans="1:14" x14ac:dyDescent="0.3">
      <c r="A310">
        <v>10283</v>
      </c>
      <c r="B310" s="14" t="s">
        <v>333</v>
      </c>
      <c r="C310" t="s">
        <v>334</v>
      </c>
      <c r="D310" t="s">
        <v>335</v>
      </c>
      <c r="E310" t="s">
        <v>61</v>
      </c>
      <c r="F310" t="s">
        <v>56</v>
      </c>
      <c r="G310" t="s">
        <v>133</v>
      </c>
      <c r="H310">
        <v>4</v>
      </c>
      <c r="I310" s="15">
        <v>9.99</v>
      </c>
      <c r="J310" s="16">
        <v>0.05</v>
      </c>
      <c r="K310" s="15">
        <f t="shared" si="8"/>
        <v>37.96</v>
      </c>
      <c r="L310" s="15">
        <f>ROUND(K310*VLOOKUP(F310,Reference!$A$4:$B$7,2,FALSE()),2)</f>
        <v>8.35</v>
      </c>
      <c r="M310" t="s">
        <v>63</v>
      </c>
      <c r="N310" t="str">
        <f t="shared" si="9"/>
        <v>Oct-2024</v>
      </c>
    </row>
    <row r="311" spans="1:14" x14ac:dyDescent="0.3">
      <c r="A311">
        <v>10344</v>
      </c>
      <c r="B311" s="14" t="s">
        <v>408</v>
      </c>
      <c r="C311" t="s">
        <v>410</v>
      </c>
      <c r="D311" t="s">
        <v>165</v>
      </c>
      <c r="E311" t="s">
        <v>125</v>
      </c>
      <c r="F311" t="s">
        <v>75</v>
      </c>
      <c r="G311" t="s">
        <v>76</v>
      </c>
      <c r="H311">
        <v>1</v>
      </c>
      <c r="I311" s="15">
        <v>22</v>
      </c>
      <c r="J311" s="16">
        <v>0.25</v>
      </c>
      <c r="K311" s="15">
        <f t="shared" si="8"/>
        <v>16.5</v>
      </c>
      <c r="L311" s="15">
        <f>ROUND(K311*VLOOKUP(F311,Reference!$A$4:$B$7,2,FALSE()),2)</f>
        <v>4.62</v>
      </c>
      <c r="M311" t="s">
        <v>63</v>
      </c>
      <c r="N311" t="str">
        <f t="shared" si="9"/>
        <v>Nov-2024</v>
      </c>
    </row>
    <row r="312" spans="1:14" x14ac:dyDescent="0.3">
      <c r="A312">
        <v>10226</v>
      </c>
      <c r="B312" s="14" t="s">
        <v>408</v>
      </c>
      <c r="C312" t="s">
        <v>226</v>
      </c>
      <c r="D312" t="s">
        <v>205</v>
      </c>
      <c r="E312" t="s">
        <v>43</v>
      </c>
      <c r="F312" t="s">
        <v>56</v>
      </c>
      <c r="G312" t="s">
        <v>217</v>
      </c>
      <c r="H312">
        <v>6</v>
      </c>
      <c r="I312" s="15">
        <v>8</v>
      </c>
      <c r="J312" s="16">
        <v>0</v>
      </c>
      <c r="K312" s="15">
        <f t="shared" si="8"/>
        <v>48</v>
      </c>
      <c r="L312" s="15">
        <f>ROUND(K312*VLOOKUP(F312,Reference!$A$4:$B$7,2,FALSE()),2)</f>
        <v>10.56</v>
      </c>
      <c r="M312" t="s">
        <v>46</v>
      </c>
      <c r="N312" t="str">
        <f t="shared" si="9"/>
        <v>Nov-2024</v>
      </c>
    </row>
    <row r="313" spans="1:14" x14ac:dyDescent="0.3">
      <c r="A313">
        <v>10274</v>
      </c>
      <c r="B313" s="14" t="s">
        <v>613</v>
      </c>
      <c r="C313" t="s">
        <v>614</v>
      </c>
      <c r="D313" t="s">
        <v>345</v>
      </c>
      <c r="E313" t="s">
        <v>61</v>
      </c>
      <c r="F313" t="s">
        <v>56</v>
      </c>
      <c r="G313" t="s">
        <v>217</v>
      </c>
      <c r="H313">
        <v>9</v>
      </c>
      <c r="I313" s="15">
        <v>8</v>
      </c>
      <c r="J313" s="16">
        <v>0.2</v>
      </c>
      <c r="K313" s="15">
        <f t="shared" si="8"/>
        <v>57.6</v>
      </c>
      <c r="L313" s="15">
        <f>ROUND(K313*VLOOKUP(F313,Reference!$A$4:$B$7,2,FALSE()),2)</f>
        <v>12.67</v>
      </c>
      <c r="M313" t="s">
        <v>46</v>
      </c>
      <c r="N313" t="str">
        <f t="shared" si="9"/>
        <v>Nov-2024</v>
      </c>
    </row>
    <row r="314" spans="1:14" x14ac:dyDescent="0.3">
      <c r="A314">
        <v>10311</v>
      </c>
      <c r="B314" s="14" t="s">
        <v>150</v>
      </c>
      <c r="C314" t="s">
        <v>151</v>
      </c>
      <c r="D314" t="s">
        <v>152</v>
      </c>
      <c r="E314" t="s">
        <v>91</v>
      </c>
      <c r="F314" t="s">
        <v>44</v>
      </c>
      <c r="G314" t="s">
        <v>67</v>
      </c>
      <c r="H314">
        <v>5</v>
      </c>
      <c r="I314" s="15">
        <v>5.5</v>
      </c>
      <c r="J314" s="16">
        <v>0.05</v>
      </c>
      <c r="K314" s="15">
        <f t="shared" si="8"/>
        <v>26.13</v>
      </c>
      <c r="L314" s="15">
        <f>ROUND(K314*VLOOKUP(F314,Reference!$A$4:$B$7,2,FALSE()),2)</f>
        <v>9.15</v>
      </c>
      <c r="M314" t="s">
        <v>46</v>
      </c>
      <c r="N314" t="str">
        <f t="shared" si="9"/>
        <v>Nov-2024</v>
      </c>
    </row>
    <row r="315" spans="1:14" x14ac:dyDescent="0.3">
      <c r="A315">
        <v>10177</v>
      </c>
      <c r="B315" s="14" t="s">
        <v>363</v>
      </c>
      <c r="C315" t="s">
        <v>456</v>
      </c>
      <c r="D315" t="s">
        <v>485</v>
      </c>
      <c r="E315" t="s">
        <v>61</v>
      </c>
      <c r="F315" t="s">
        <v>50</v>
      </c>
      <c r="G315" t="s">
        <v>84</v>
      </c>
      <c r="H315">
        <v>6</v>
      </c>
      <c r="I315" s="15">
        <v>75.5</v>
      </c>
      <c r="J315" s="16">
        <v>0.25</v>
      </c>
      <c r="K315" s="15">
        <f t="shared" si="8"/>
        <v>339.75</v>
      </c>
      <c r="L315" s="15">
        <f>ROUND(K315*VLOOKUP(F315,Reference!$A$4:$B$7,2,FALSE()),2)</f>
        <v>61.16</v>
      </c>
      <c r="M315" t="s">
        <v>52</v>
      </c>
      <c r="N315" t="str">
        <f t="shared" si="9"/>
        <v>Nov-2024</v>
      </c>
    </row>
    <row r="316" spans="1:14" x14ac:dyDescent="0.3">
      <c r="A316">
        <v>10353</v>
      </c>
      <c r="B316" s="14" t="s">
        <v>363</v>
      </c>
      <c r="C316" t="s">
        <v>364</v>
      </c>
      <c r="D316" t="s">
        <v>266</v>
      </c>
      <c r="E316" t="s">
        <v>74</v>
      </c>
      <c r="F316" t="s">
        <v>50</v>
      </c>
      <c r="G316" t="s">
        <v>99</v>
      </c>
      <c r="H316">
        <v>2</v>
      </c>
      <c r="I316" s="15">
        <v>15</v>
      </c>
      <c r="J316" s="16">
        <v>0.25</v>
      </c>
      <c r="K316" s="15">
        <f t="shared" si="8"/>
        <v>22.5</v>
      </c>
      <c r="L316" s="15">
        <f>ROUND(K316*VLOOKUP(F316,Reference!$A$4:$B$7,2,FALSE()),2)</f>
        <v>4.05</v>
      </c>
      <c r="M316" t="s">
        <v>52</v>
      </c>
      <c r="N316" t="str">
        <f t="shared" si="9"/>
        <v>Nov-2024</v>
      </c>
    </row>
    <row r="317" spans="1:14" x14ac:dyDescent="0.3">
      <c r="A317">
        <v>10176</v>
      </c>
      <c r="B317" s="14" t="s">
        <v>363</v>
      </c>
      <c r="C317" t="s">
        <v>282</v>
      </c>
      <c r="D317" t="s">
        <v>83</v>
      </c>
      <c r="E317" t="s">
        <v>125</v>
      </c>
      <c r="F317" t="s">
        <v>44</v>
      </c>
      <c r="G317" t="s">
        <v>146</v>
      </c>
      <c r="H317">
        <v>2</v>
      </c>
      <c r="I317" s="15">
        <v>3.1</v>
      </c>
      <c r="J317" s="16">
        <v>0</v>
      </c>
      <c r="K317" s="15">
        <f t="shared" si="8"/>
        <v>6.2</v>
      </c>
      <c r="L317" s="15">
        <f>ROUND(K317*VLOOKUP(F317,Reference!$A$4:$B$7,2,FALSE()),2)</f>
        <v>2.17</v>
      </c>
      <c r="M317" t="s">
        <v>52</v>
      </c>
      <c r="N317" t="str">
        <f t="shared" si="9"/>
        <v>Nov-2024</v>
      </c>
    </row>
    <row r="318" spans="1:14" x14ac:dyDescent="0.3">
      <c r="A318">
        <v>10151</v>
      </c>
      <c r="B318" s="14" t="s">
        <v>609</v>
      </c>
      <c r="C318" t="s">
        <v>396</v>
      </c>
      <c r="D318" t="s">
        <v>424</v>
      </c>
      <c r="E318" t="s">
        <v>61</v>
      </c>
      <c r="F318" t="s">
        <v>50</v>
      </c>
      <c r="G318" t="s">
        <v>80</v>
      </c>
      <c r="H318">
        <v>8</v>
      </c>
      <c r="I318" s="15">
        <v>89</v>
      </c>
      <c r="J318" s="16">
        <v>0</v>
      </c>
      <c r="K318" s="15">
        <f t="shared" si="8"/>
        <v>712</v>
      </c>
      <c r="L318" s="15">
        <f>ROUND(K318*VLOOKUP(F318,Reference!$A$4:$B$7,2,FALSE()),2)</f>
        <v>128.16</v>
      </c>
      <c r="M318" t="s">
        <v>46</v>
      </c>
      <c r="N318" t="str">
        <f t="shared" si="9"/>
        <v>Nov-2024</v>
      </c>
    </row>
    <row r="319" spans="1:14" x14ac:dyDescent="0.3">
      <c r="A319">
        <v>10116</v>
      </c>
      <c r="B319" s="14" t="s">
        <v>532</v>
      </c>
      <c r="C319" t="s">
        <v>192</v>
      </c>
      <c r="D319" t="s">
        <v>274</v>
      </c>
      <c r="E319" t="s">
        <v>125</v>
      </c>
      <c r="F319" t="s">
        <v>75</v>
      </c>
      <c r="G319" t="s">
        <v>95</v>
      </c>
      <c r="H319">
        <v>5</v>
      </c>
      <c r="I319" s="15">
        <v>18.75</v>
      </c>
      <c r="J319" s="16">
        <v>0.2</v>
      </c>
      <c r="K319" s="15">
        <f t="shared" si="8"/>
        <v>75</v>
      </c>
      <c r="L319" s="15">
        <f>ROUND(K319*VLOOKUP(F319,Reference!$A$4:$B$7,2,FALSE()),2)</f>
        <v>21</v>
      </c>
      <c r="M319" t="s">
        <v>52</v>
      </c>
      <c r="N319" t="str">
        <f t="shared" si="9"/>
        <v>Nov-2024</v>
      </c>
    </row>
    <row r="320" spans="1:14" x14ac:dyDescent="0.3">
      <c r="A320">
        <v>10295</v>
      </c>
      <c r="B320" s="14" t="s">
        <v>532</v>
      </c>
      <c r="C320" t="s">
        <v>255</v>
      </c>
      <c r="D320" t="s">
        <v>94</v>
      </c>
      <c r="E320" t="s">
        <v>61</v>
      </c>
      <c r="F320" t="s">
        <v>50</v>
      </c>
      <c r="G320" t="s">
        <v>99</v>
      </c>
      <c r="H320">
        <v>3</v>
      </c>
      <c r="I320" s="15">
        <v>15</v>
      </c>
      <c r="J320" s="16">
        <v>0.05</v>
      </c>
      <c r="K320" s="15">
        <f t="shared" si="8"/>
        <v>42.75</v>
      </c>
      <c r="L320" s="15">
        <f>ROUND(K320*VLOOKUP(F320,Reference!$A$4:$B$7,2,FALSE()),2)</f>
        <v>7.7</v>
      </c>
      <c r="M320" t="s">
        <v>52</v>
      </c>
      <c r="N320" t="str">
        <f t="shared" si="9"/>
        <v>Nov-2024</v>
      </c>
    </row>
    <row r="321" spans="1:14" x14ac:dyDescent="0.3">
      <c r="A321">
        <v>10341</v>
      </c>
      <c r="B321" s="14" t="s">
        <v>492</v>
      </c>
      <c r="C321" t="s">
        <v>260</v>
      </c>
      <c r="D321" t="s">
        <v>404</v>
      </c>
      <c r="E321" t="s">
        <v>91</v>
      </c>
      <c r="F321" t="s">
        <v>50</v>
      </c>
      <c r="G321" t="s">
        <v>62</v>
      </c>
      <c r="H321">
        <v>8</v>
      </c>
      <c r="I321" s="15">
        <v>65</v>
      </c>
      <c r="J321" s="16">
        <v>0.2</v>
      </c>
      <c r="K321" s="15">
        <f t="shared" si="8"/>
        <v>416</v>
      </c>
      <c r="L321" s="15">
        <f>ROUND(K321*VLOOKUP(F321,Reference!$A$4:$B$7,2,FALSE()),2)</f>
        <v>74.88</v>
      </c>
      <c r="M321" t="s">
        <v>63</v>
      </c>
      <c r="N321" t="str">
        <f t="shared" si="9"/>
        <v>Nov-2024</v>
      </c>
    </row>
    <row r="322" spans="1:14" x14ac:dyDescent="0.3">
      <c r="A322">
        <v>10316</v>
      </c>
      <c r="B322" s="14" t="s">
        <v>556</v>
      </c>
      <c r="C322" t="s">
        <v>131</v>
      </c>
      <c r="D322" t="s">
        <v>306</v>
      </c>
      <c r="E322" t="s">
        <v>125</v>
      </c>
      <c r="F322" t="s">
        <v>44</v>
      </c>
      <c r="G322" t="s">
        <v>67</v>
      </c>
      <c r="H322">
        <v>5</v>
      </c>
      <c r="I322" s="15">
        <v>5.5</v>
      </c>
      <c r="J322" s="16">
        <v>0</v>
      </c>
      <c r="K322" s="15">
        <f t="shared" si="8"/>
        <v>27.5</v>
      </c>
      <c r="L322" s="15">
        <f>ROUND(K322*VLOOKUP(F322,Reference!$A$4:$B$7,2,FALSE()),2)</f>
        <v>9.6300000000000008</v>
      </c>
      <c r="M322" t="s">
        <v>46</v>
      </c>
      <c r="N322" t="str">
        <f t="shared" si="9"/>
        <v>Nov-2024</v>
      </c>
    </row>
    <row r="323" spans="1:14" x14ac:dyDescent="0.3">
      <c r="A323">
        <v>10251</v>
      </c>
      <c r="B323" s="14" t="s">
        <v>563</v>
      </c>
      <c r="C323" t="s">
        <v>276</v>
      </c>
      <c r="D323" t="s">
        <v>374</v>
      </c>
      <c r="E323" t="s">
        <v>91</v>
      </c>
      <c r="F323" t="s">
        <v>56</v>
      </c>
      <c r="G323" t="s">
        <v>366</v>
      </c>
      <c r="H323">
        <v>1</v>
      </c>
      <c r="I323" s="15">
        <v>38.5</v>
      </c>
      <c r="J323" s="16">
        <v>0</v>
      </c>
      <c r="K323" s="15">
        <f t="shared" si="8"/>
        <v>38.5</v>
      </c>
      <c r="L323" s="15">
        <f>ROUND(K323*VLOOKUP(F323,Reference!$A$4:$B$7,2,FALSE()),2)</f>
        <v>8.4700000000000006</v>
      </c>
      <c r="M323" t="s">
        <v>63</v>
      </c>
      <c r="N323" t="str">
        <f t="shared" si="9"/>
        <v>Nov-2024</v>
      </c>
    </row>
    <row r="324" spans="1:14" x14ac:dyDescent="0.3">
      <c r="A324">
        <v>10289</v>
      </c>
      <c r="B324" s="14" t="s">
        <v>489</v>
      </c>
      <c r="C324" t="s">
        <v>104</v>
      </c>
      <c r="D324" t="s">
        <v>175</v>
      </c>
      <c r="E324" t="s">
        <v>43</v>
      </c>
      <c r="F324" t="s">
        <v>44</v>
      </c>
      <c r="G324" t="s">
        <v>67</v>
      </c>
      <c r="H324">
        <v>8</v>
      </c>
      <c r="I324" s="15">
        <v>5.5</v>
      </c>
      <c r="J324" s="16">
        <v>0</v>
      </c>
      <c r="K324" s="15">
        <f t="shared" ref="K324:K387" si="10">ROUND(H324*I324*(1-J324),2)</f>
        <v>44</v>
      </c>
      <c r="L324" s="15">
        <f>ROUND(K324*VLOOKUP(F324,Reference!$A$4:$B$7,2,FALSE()),2)</f>
        <v>15.4</v>
      </c>
      <c r="M324" t="s">
        <v>46</v>
      </c>
      <c r="N324" t="str">
        <f t="shared" ref="N324:N369" si="11">TEXT(B324,"mmm-yyyy")</f>
        <v>Nov-2024</v>
      </c>
    </row>
    <row r="325" spans="1:14" x14ac:dyDescent="0.3">
      <c r="A325">
        <v>10064</v>
      </c>
      <c r="B325" s="14" t="s">
        <v>194</v>
      </c>
      <c r="C325" t="s">
        <v>195</v>
      </c>
      <c r="D325" t="s">
        <v>196</v>
      </c>
      <c r="E325" t="s">
        <v>125</v>
      </c>
      <c r="F325" t="s">
        <v>50</v>
      </c>
      <c r="G325" t="s">
        <v>51</v>
      </c>
      <c r="H325">
        <v>8</v>
      </c>
      <c r="I325" s="15">
        <v>120</v>
      </c>
      <c r="J325" s="16">
        <v>0</v>
      </c>
      <c r="K325" s="15">
        <f t="shared" si="10"/>
        <v>960</v>
      </c>
      <c r="L325" s="15">
        <f>ROUND(K325*VLOOKUP(F325,Reference!$A$4:$B$7,2,FALSE()),2)</f>
        <v>172.8</v>
      </c>
      <c r="M325" t="s">
        <v>46</v>
      </c>
      <c r="N325" t="str">
        <f t="shared" si="11"/>
        <v>Nov-2024</v>
      </c>
    </row>
    <row r="326" spans="1:14" x14ac:dyDescent="0.3">
      <c r="A326">
        <v>10128</v>
      </c>
      <c r="B326" s="14" t="s">
        <v>549</v>
      </c>
      <c r="C326" t="s">
        <v>481</v>
      </c>
      <c r="D326" t="s">
        <v>159</v>
      </c>
      <c r="E326" t="s">
        <v>91</v>
      </c>
      <c r="F326" t="s">
        <v>44</v>
      </c>
      <c r="G326" t="s">
        <v>156</v>
      </c>
      <c r="H326">
        <v>10</v>
      </c>
      <c r="I326" s="15">
        <v>27</v>
      </c>
      <c r="J326" s="16">
        <v>0.1</v>
      </c>
      <c r="K326" s="15">
        <f t="shared" si="10"/>
        <v>243</v>
      </c>
      <c r="L326" s="15">
        <f>ROUND(K326*VLOOKUP(F326,Reference!$A$4:$B$7,2,FALSE()),2)</f>
        <v>85.05</v>
      </c>
      <c r="M326" t="s">
        <v>63</v>
      </c>
      <c r="N326" t="str">
        <f t="shared" si="11"/>
        <v>Nov-2024</v>
      </c>
    </row>
    <row r="327" spans="1:14" x14ac:dyDescent="0.3">
      <c r="A327">
        <v>10268</v>
      </c>
      <c r="B327" s="14" t="s">
        <v>231</v>
      </c>
      <c r="C327" t="s">
        <v>232</v>
      </c>
      <c r="D327" t="s">
        <v>233</v>
      </c>
      <c r="E327" t="s">
        <v>61</v>
      </c>
      <c r="F327" t="s">
        <v>50</v>
      </c>
      <c r="G327" t="s">
        <v>84</v>
      </c>
      <c r="H327">
        <v>2</v>
      </c>
      <c r="I327" s="15">
        <v>75.5</v>
      </c>
      <c r="J327" s="16">
        <v>0</v>
      </c>
      <c r="K327" s="15">
        <f t="shared" si="10"/>
        <v>151</v>
      </c>
      <c r="L327" s="15">
        <f>ROUND(K327*VLOOKUP(F327,Reference!$A$4:$B$7,2,FALSE()),2)</f>
        <v>27.18</v>
      </c>
      <c r="M327" t="s">
        <v>46</v>
      </c>
      <c r="N327" t="str">
        <f t="shared" si="11"/>
        <v>Nov-2024</v>
      </c>
    </row>
    <row r="328" spans="1:14" x14ac:dyDescent="0.3">
      <c r="A328">
        <v>10148</v>
      </c>
      <c r="B328" s="14" t="s">
        <v>81</v>
      </c>
      <c r="C328" t="s">
        <v>82</v>
      </c>
      <c r="D328" t="s">
        <v>83</v>
      </c>
      <c r="E328" t="s">
        <v>74</v>
      </c>
      <c r="F328" t="s">
        <v>50</v>
      </c>
      <c r="G328" t="s">
        <v>84</v>
      </c>
      <c r="H328">
        <v>2</v>
      </c>
      <c r="I328" s="15">
        <v>75.5</v>
      </c>
      <c r="J328" s="16">
        <v>0.25</v>
      </c>
      <c r="K328" s="15">
        <f t="shared" si="10"/>
        <v>113.25</v>
      </c>
      <c r="L328" s="15">
        <f>ROUND(K328*VLOOKUP(F328,Reference!$A$4:$B$7,2,FALSE()),2)</f>
        <v>20.39</v>
      </c>
      <c r="M328" t="s">
        <v>46</v>
      </c>
      <c r="N328" t="str">
        <f t="shared" si="11"/>
        <v>Nov-2024</v>
      </c>
    </row>
    <row r="329" spans="1:14" x14ac:dyDescent="0.3">
      <c r="A329">
        <v>10288</v>
      </c>
      <c r="B329" s="14" t="s">
        <v>348</v>
      </c>
      <c r="C329" t="s">
        <v>319</v>
      </c>
      <c r="D329" t="s">
        <v>349</v>
      </c>
      <c r="E329" t="s">
        <v>91</v>
      </c>
      <c r="F329" t="s">
        <v>50</v>
      </c>
      <c r="G329" t="s">
        <v>99</v>
      </c>
      <c r="H329">
        <v>3</v>
      </c>
      <c r="I329" s="15">
        <v>15</v>
      </c>
      <c r="J329" s="16">
        <v>0.25</v>
      </c>
      <c r="K329" s="15">
        <f t="shared" si="10"/>
        <v>33.75</v>
      </c>
      <c r="L329" s="15">
        <f>ROUND(K329*VLOOKUP(F329,Reference!$A$4:$B$7,2,FALSE()),2)</f>
        <v>6.08</v>
      </c>
      <c r="M329" t="s">
        <v>52</v>
      </c>
      <c r="N329" t="str">
        <f t="shared" si="11"/>
        <v>Nov-2024</v>
      </c>
    </row>
    <row r="330" spans="1:14" x14ac:dyDescent="0.3">
      <c r="A330">
        <v>10275</v>
      </c>
      <c r="B330" s="14" t="s">
        <v>447</v>
      </c>
      <c r="C330" t="s">
        <v>347</v>
      </c>
      <c r="D330" t="s">
        <v>94</v>
      </c>
      <c r="E330" t="s">
        <v>43</v>
      </c>
      <c r="F330" t="s">
        <v>75</v>
      </c>
      <c r="G330" t="s">
        <v>202</v>
      </c>
      <c r="H330">
        <v>6</v>
      </c>
      <c r="I330" s="15">
        <v>34.5</v>
      </c>
      <c r="J330" s="16">
        <v>0</v>
      </c>
      <c r="K330" s="15">
        <f t="shared" si="10"/>
        <v>207</v>
      </c>
      <c r="L330" s="15">
        <f>ROUND(K330*VLOOKUP(F330,Reference!$A$4:$B$7,2,FALSE()),2)</f>
        <v>57.96</v>
      </c>
      <c r="M330" t="s">
        <v>46</v>
      </c>
      <c r="N330" t="str">
        <f t="shared" si="11"/>
        <v>Nov-2024</v>
      </c>
    </row>
    <row r="331" spans="1:14" x14ac:dyDescent="0.3">
      <c r="A331">
        <v>10001</v>
      </c>
      <c r="B331" s="14" t="s">
        <v>243</v>
      </c>
      <c r="C331" t="s">
        <v>396</v>
      </c>
      <c r="D331" t="s">
        <v>256</v>
      </c>
      <c r="E331" t="s">
        <v>43</v>
      </c>
      <c r="F331" t="s">
        <v>75</v>
      </c>
      <c r="G331" t="s">
        <v>76</v>
      </c>
      <c r="H331">
        <v>4</v>
      </c>
      <c r="I331" s="15">
        <v>22</v>
      </c>
      <c r="J331" s="16">
        <v>0.05</v>
      </c>
      <c r="K331" s="15">
        <f t="shared" si="10"/>
        <v>83.6</v>
      </c>
      <c r="L331" s="15">
        <f>ROUND(K331*VLOOKUP(F331,Reference!$A$4:$B$7,2,FALSE()),2)</f>
        <v>23.41</v>
      </c>
      <c r="M331" t="s">
        <v>63</v>
      </c>
      <c r="N331" t="str">
        <f t="shared" si="11"/>
        <v>Nov-2024</v>
      </c>
    </row>
    <row r="332" spans="1:14" x14ac:dyDescent="0.3">
      <c r="A332">
        <v>10221</v>
      </c>
      <c r="B332" s="14" t="s">
        <v>243</v>
      </c>
      <c r="C332" t="s">
        <v>169</v>
      </c>
      <c r="D332" t="s">
        <v>357</v>
      </c>
      <c r="E332" t="s">
        <v>61</v>
      </c>
      <c r="F332" t="s">
        <v>56</v>
      </c>
      <c r="G332" t="s">
        <v>217</v>
      </c>
      <c r="H332">
        <v>6</v>
      </c>
      <c r="I332" s="15">
        <v>8</v>
      </c>
      <c r="J332" s="16">
        <v>0</v>
      </c>
      <c r="K332" s="15">
        <f t="shared" si="10"/>
        <v>48</v>
      </c>
      <c r="L332" s="15">
        <f>ROUND(K332*VLOOKUP(F332,Reference!$A$4:$B$7,2,FALSE()),2)</f>
        <v>10.56</v>
      </c>
      <c r="M332" t="s">
        <v>63</v>
      </c>
      <c r="N332" t="str">
        <f t="shared" si="11"/>
        <v>Nov-2024</v>
      </c>
    </row>
    <row r="333" spans="1:14" x14ac:dyDescent="0.3">
      <c r="A333">
        <v>10167</v>
      </c>
      <c r="B333" s="14" t="s">
        <v>243</v>
      </c>
      <c r="C333" t="s">
        <v>245</v>
      </c>
      <c r="D333" t="s">
        <v>509</v>
      </c>
      <c r="E333" t="s">
        <v>91</v>
      </c>
      <c r="F333" t="s">
        <v>56</v>
      </c>
      <c r="G333" t="s">
        <v>133</v>
      </c>
      <c r="H333">
        <v>2</v>
      </c>
      <c r="I333" s="15">
        <v>9.99</v>
      </c>
      <c r="J333" s="16">
        <v>0.25</v>
      </c>
      <c r="K333" s="15">
        <f t="shared" si="10"/>
        <v>14.99</v>
      </c>
      <c r="L333" s="15">
        <f>ROUND(K333*VLOOKUP(F333,Reference!$A$4:$B$7,2,FALSE()),2)</f>
        <v>3.3</v>
      </c>
      <c r="M333" t="s">
        <v>46</v>
      </c>
      <c r="N333" t="str">
        <f t="shared" si="11"/>
        <v>Nov-2024</v>
      </c>
    </row>
    <row r="334" spans="1:14" x14ac:dyDescent="0.3">
      <c r="A334">
        <v>10143</v>
      </c>
      <c r="B334" s="14" t="s">
        <v>243</v>
      </c>
      <c r="C334" t="s">
        <v>244</v>
      </c>
      <c r="D334" t="s">
        <v>208</v>
      </c>
      <c r="E334" t="s">
        <v>61</v>
      </c>
      <c r="F334" t="s">
        <v>44</v>
      </c>
      <c r="G334" t="s">
        <v>67</v>
      </c>
      <c r="H334">
        <v>7</v>
      </c>
      <c r="I334" s="15">
        <v>5.5</v>
      </c>
      <c r="J334" s="16">
        <v>0</v>
      </c>
      <c r="K334" s="15">
        <f t="shared" si="10"/>
        <v>38.5</v>
      </c>
      <c r="L334" s="15">
        <f>ROUND(K334*VLOOKUP(F334,Reference!$A$4:$B$7,2,FALSE()),2)</f>
        <v>13.48</v>
      </c>
      <c r="M334" t="s">
        <v>52</v>
      </c>
      <c r="N334" t="str">
        <f t="shared" si="11"/>
        <v>Nov-2024</v>
      </c>
    </row>
    <row r="335" spans="1:14" x14ac:dyDescent="0.3">
      <c r="A335">
        <v>10043</v>
      </c>
      <c r="B335" s="14" t="s">
        <v>465</v>
      </c>
      <c r="C335" t="s">
        <v>236</v>
      </c>
      <c r="D335" t="s">
        <v>528</v>
      </c>
      <c r="E335" t="s">
        <v>91</v>
      </c>
      <c r="F335" t="s">
        <v>56</v>
      </c>
      <c r="G335" t="s">
        <v>217</v>
      </c>
      <c r="H335">
        <v>6</v>
      </c>
      <c r="I335" s="15">
        <v>8</v>
      </c>
      <c r="J335" s="16">
        <v>0</v>
      </c>
      <c r="K335" s="15">
        <f t="shared" si="10"/>
        <v>48</v>
      </c>
      <c r="L335" s="15">
        <f>ROUND(K335*VLOOKUP(F335,Reference!$A$4:$B$7,2,FALSE()),2)</f>
        <v>10.56</v>
      </c>
      <c r="M335" t="s">
        <v>46</v>
      </c>
      <c r="N335" t="str">
        <f t="shared" si="11"/>
        <v>Nov-2024</v>
      </c>
    </row>
    <row r="336" spans="1:14" x14ac:dyDescent="0.3">
      <c r="A336">
        <v>10219</v>
      </c>
      <c r="B336" s="14" t="s">
        <v>465</v>
      </c>
      <c r="C336" t="s">
        <v>466</v>
      </c>
      <c r="D336" t="s">
        <v>467</v>
      </c>
      <c r="E336" t="s">
        <v>91</v>
      </c>
      <c r="F336" t="s">
        <v>56</v>
      </c>
      <c r="G336" t="s">
        <v>149</v>
      </c>
      <c r="H336">
        <v>9</v>
      </c>
      <c r="I336" s="15">
        <v>42</v>
      </c>
      <c r="J336" s="16">
        <v>0.25</v>
      </c>
      <c r="K336" s="15">
        <f t="shared" si="10"/>
        <v>283.5</v>
      </c>
      <c r="L336" s="15">
        <f>ROUND(K336*VLOOKUP(F336,Reference!$A$4:$B$7,2,FALSE()),2)</f>
        <v>62.37</v>
      </c>
      <c r="M336" t="s">
        <v>63</v>
      </c>
      <c r="N336" t="str">
        <f t="shared" si="11"/>
        <v>Nov-2024</v>
      </c>
    </row>
    <row r="337" spans="1:14" x14ac:dyDescent="0.3">
      <c r="A337">
        <v>10150</v>
      </c>
      <c r="B337" s="14" t="s">
        <v>399</v>
      </c>
      <c r="C337" t="s">
        <v>400</v>
      </c>
      <c r="D337" t="s">
        <v>165</v>
      </c>
      <c r="E337" t="s">
        <v>43</v>
      </c>
      <c r="F337" t="s">
        <v>56</v>
      </c>
      <c r="G337" t="s">
        <v>366</v>
      </c>
      <c r="H337">
        <v>10</v>
      </c>
      <c r="I337" s="15">
        <v>38.5</v>
      </c>
      <c r="J337" s="16">
        <v>0</v>
      </c>
      <c r="K337" s="15">
        <f t="shared" si="10"/>
        <v>385</v>
      </c>
      <c r="L337" s="15">
        <f>ROUND(K337*VLOOKUP(F337,Reference!$A$4:$B$7,2,FALSE()),2)</f>
        <v>84.7</v>
      </c>
      <c r="M337" t="s">
        <v>52</v>
      </c>
      <c r="N337" t="str">
        <f t="shared" si="11"/>
        <v>Nov-2024</v>
      </c>
    </row>
    <row r="338" spans="1:14" x14ac:dyDescent="0.3">
      <c r="A338">
        <v>10152</v>
      </c>
      <c r="B338" s="14" t="s">
        <v>399</v>
      </c>
      <c r="C338" t="s">
        <v>258</v>
      </c>
      <c r="D338" t="s">
        <v>622</v>
      </c>
      <c r="E338" t="s">
        <v>125</v>
      </c>
      <c r="F338" t="s">
        <v>75</v>
      </c>
      <c r="G338" t="s">
        <v>202</v>
      </c>
      <c r="H338">
        <v>8</v>
      </c>
      <c r="I338" s="15">
        <v>34.5</v>
      </c>
      <c r="J338" s="16">
        <v>0.25</v>
      </c>
      <c r="K338" s="15">
        <f t="shared" si="10"/>
        <v>207</v>
      </c>
      <c r="L338" s="15">
        <f>ROUND(K338*VLOOKUP(F338,Reference!$A$4:$B$7,2,FALSE()),2)</f>
        <v>57.96</v>
      </c>
      <c r="M338" t="s">
        <v>52</v>
      </c>
      <c r="N338" t="str">
        <f t="shared" si="11"/>
        <v>Nov-2024</v>
      </c>
    </row>
    <row r="339" spans="1:14" x14ac:dyDescent="0.3">
      <c r="A339">
        <v>10281</v>
      </c>
      <c r="B339" s="14" t="s">
        <v>315</v>
      </c>
      <c r="C339" t="s">
        <v>316</v>
      </c>
      <c r="D339" t="s">
        <v>317</v>
      </c>
      <c r="E339" t="s">
        <v>43</v>
      </c>
      <c r="F339" t="s">
        <v>50</v>
      </c>
      <c r="G339" t="s">
        <v>51</v>
      </c>
      <c r="H339">
        <v>9</v>
      </c>
      <c r="I339" s="15">
        <v>120</v>
      </c>
      <c r="J339" s="16">
        <v>0</v>
      </c>
      <c r="K339" s="15">
        <f t="shared" si="10"/>
        <v>1080</v>
      </c>
      <c r="L339" s="15">
        <f>ROUND(K339*VLOOKUP(F339,Reference!$A$4:$B$7,2,FALSE()),2)</f>
        <v>194.4</v>
      </c>
      <c r="M339" t="s">
        <v>52</v>
      </c>
      <c r="N339" t="str">
        <f t="shared" si="11"/>
        <v>Nov-2024</v>
      </c>
    </row>
    <row r="340" spans="1:14" x14ac:dyDescent="0.3">
      <c r="A340">
        <v>10034</v>
      </c>
      <c r="B340" s="14" t="s">
        <v>431</v>
      </c>
      <c r="C340" t="s">
        <v>117</v>
      </c>
      <c r="D340" t="s">
        <v>541</v>
      </c>
      <c r="E340" t="s">
        <v>91</v>
      </c>
      <c r="F340" t="s">
        <v>75</v>
      </c>
      <c r="G340" t="s">
        <v>303</v>
      </c>
      <c r="H340">
        <v>5</v>
      </c>
      <c r="I340" s="15">
        <v>29.99</v>
      </c>
      <c r="J340" s="16">
        <v>0</v>
      </c>
      <c r="K340" s="15">
        <f t="shared" si="10"/>
        <v>149.94999999999999</v>
      </c>
      <c r="L340" s="15">
        <f>ROUND(K340*VLOOKUP(F340,Reference!$A$4:$B$7,2,FALSE()),2)</f>
        <v>41.99</v>
      </c>
      <c r="M340" t="s">
        <v>63</v>
      </c>
      <c r="N340" t="str">
        <f t="shared" si="11"/>
        <v>Nov-2024</v>
      </c>
    </row>
    <row r="341" spans="1:14" x14ac:dyDescent="0.3">
      <c r="A341">
        <v>10199</v>
      </c>
      <c r="B341" s="14" t="s">
        <v>431</v>
      </c>
      <c r="C341" t="s">
        <v>529</v>
      </c>
      <c r="D341" t="s">
        <v>495</v>
      </c>
      <c r="E341" t="s">
        <v>61</v>
      </c>
      <c r="F341" t="s">
        <v>44</v>
      </c>
      <c r="G341" t="s">
        <v>106</v>
      </c>
      <c r="H341">
        <v>1</v>
      </c>
      <c r="I341" s="15">
        <v>6.75</v>
      </c>
      <c r="J341" s="16">
        <v>0</v>
      </c>
      <c r="K341" s="15">
        <f t="shared" si="10"/>
        <v>6.75</v>
      </c>
      <c r="L341" s="15">
        <f>ROUND(K341*VLOOKUP(F341,Reference!$A$4:$B$7,2,FALSE()),2)</f>
        <v>2.36</v>
      </c>
      <c r="M341" t="s">
        <v>52</v>
      </c>
      <c r="N341" t="str">
        <f t="shared" si="11"/>
        <v>Nov-2024</v>
      </c>
    </row>
    <row r="342" spans="1:14" x14ac:dyDescent="0.3">
      <c r="A342">
        <v>10290</v>
      </c>
      <c r="B342" s="14" t="s">
        <v>431</v>
      </c>
      <c r="C342" t="s">
        <v>204</v>
      </c>
      <c r="D342" t="s">
        <v>335</v>
      </c>
      <c r="E342" t="s">
        <v>61</v>
      </c>
      <c r="F342" t="s">
        <v>56</v>
      </c>
      <c r="G342" t="s">
        <v>366</v>
      </c>
      <c r="H342">
        <v>7</v>
      </c>
      <c r="I342" s="15">
        <v>38.5</v>
      </c>
      <c r="J342" s="16">
        <v>0.25</v>
      </c>
      <c r="K342" s="15">
        <f t="shared" si="10"/>
        <v>202.13</v>
      </c>
      <c r="L342" s="15">
        <f>ROUND(K342*VLOOKUP(F342,Reference!$A$4:$B$7,2,FALSE()),2)</f>
        <v>44.47</v>
      </c>
      <c r="M342" t="s">
        <v>63</v>
      </c>
      <c r="N342" t="str">
        <f t="shared" si="11"/>
        <v>Nov-2024</v>
      </c>
    </row>
    <row r="343" spans="1:14" x14ac:dyDescent="0.3">
      <c r="A343">
        <v>10049</v>
      </c>
      <c r="B343" s="14" t="s">
        <v>163</v>
      </c>
      <c r="C343" t="s">
        <v>529</v>
      </c>
      <c r="D343" t="s">
        <v>235</v>
      </c>
      <c r="E343" t="s">
        <v>74</v>
      </c>
      <c r="F343" t="s">
        <v>56</v>
      </c>
      <c r="G343" t="s">
        <v>366</v>
      </c>
      <c r="H343">
        <v>8</v>
      </c>
      <c r="I343" s="15">
        <v>38.5</v>
      </c>
      <c r="J343" s="16">
        <v>0.05</v>
      </c>
      <c r="K343" s="15">
        <f t="shared" si="10"/>
        <v>292.60000000000002</v>
      </c>
      <c r="L343" s="15">
        <f>ROUND(K343*VLOOKUP(F343,Reference!$A$4:$B$7,2,FALSE()),2)</f>
        <v>64.37</v>
      </c>
      <c r="M343" t="s">
        <v>52</v>
      </c>
      <c r="N343" t="str">
        <f t="shared" si="11"/>
        <v>Dec-2024</v>
      </c>
    </row>
    <row r="344" spans="1:14" x14ac:dyDescent="0.3">
      <c r="A344">
        <v>10305</v>
      </c>
      <c r="B344" s="14" t="s">
        <v>163</v>
      </c>
      <c r="C344" t="s">
        <v>164</v>
      </c>
      <c r="D344" t="s">
        <v>165</v>
      </c>
      <c r="E344" t="s">
        <v>43</v>
      </c>
      <c r="F344" t="s">
        <v>75</v>
      </c>
      <c r="G344" t="s">
        <v>126</v>
      </c>
      <c r="H344">
        <v>4</v>
      </c>
      <c r="I344" s="15">
        <v>12.99</v>
      </c>
      <c r="J344" s="16">
        <v>0.25</v>
      </c>
      <c r="K344" s="15">
        <f t="shared" si="10"/>
        <v>38.97</v>
      </c>
      <c r="L344" s="15">
        <f>ROUND(K344*VLOOKUP(F344,Reference!$A$4:$B$7,2,FALSE()),2)</f>
        <v>10.91</v>
      </c>
      <c r="M344" t="s">
        <v>46</v>
      </c>
      <c r="N344" t="str">
        <f t="shared" si="11"/>
        <v>Dec-2024</v>
      </c>
    </row>
    <row r="345" spans="1:14" x14ac:dyDescent="0.3">
      <c r="A345">
        <v>10018</v>
      </c>
      <c r="B345" s="14" t="s">
        <v>122</v>
      </c>
      <c r="C345" t="s">
        <v>179</v>
      </c>
      <c r="D345" t="s">
        <v>180</v>
      </c>
      <c r="E345" t="s">
        <v>61</v>
      </c>
      <c r="F345" t="s">
        <v>50</v>
      </c>
      <c r="G345" t="s">
        <v>62</v>
      </c>
      <c r="H345">
        <v>9</v>
      </c>
      <c r="I345" s="15">
        <v>65</v>
      </c>
      <c r="J345" s="16">
        <v>0.2</v>
      </c>
      <c r="K345" s="15">
        <f t="shared" si="10"/>
        <v>468</v>
      </c>
      <c r="L345" s="15">
        <f>ROUND(K345*VLOOKUP(F345,Reference!$A$4:$B$7,2,FALSE()),2)</f>
        <v>84.24</v>
      </c>
      <c r="M345" t="s">
        <v>46</v>
      </c>
      <c r="N345" t="str">
        <f t="shared" si="11"/>
        <v>Dec-2024</v>
      </c>
    </row>
    <row r="346" spans="1:14" x14ac:dyDescent="0.3">
      <c r="A346">
        <v>10111</v>
      </c>
      <c r="B346" s="14" t="s">
        <v>122</v>
      </c>
      <c r="C346" t="s">
        <v>123</v>
      </c>
      <c r="D346" t="s">
        <v>124</v>
      </c>
      <c r="E346" t="s">
        <v>125</v>
      </c>
      <c r="F346" t="s">
        <v>75</v>
      </c>
      <c r="G346" t="s">
        <v>126</v>
      </c>
      <c r="H346">
        <v>5</v>
      </c>
      <c r="I346" s="15">
        <v>12.99</v>
      </c>
      <c r="J346" s="16">
        <v>0.25</v>
      </c>
      <c r="K346" s="15">
        <f t="shared" si="10"/>
        <v>48.71</v>
      </c>
      <c r="L346" s="15">
        <f>ROUND(K346*VLOOKUP(F346,Reference!$A$4:$B$7,2,FALSE()),2)</f>
        <v>13.64</v>
      </c>
      <c r="M346" t="s">
        <v>63</v>
      </c>
      <c r="N346" t="str">
        <f t="shared" si="11"/>
        <v>Dec-2024</v>
      </c>
    </row>
    <row r="347" spans="1:14" x14ac:dyDescent="0.3">
      <c r="A347">
        <v>10126</v>
      </c>
      <c r="B347" s="14" t="s">
        <v>122</v>
      </c>
      <c r="C347" t="s">
        <v>295</v>
      </c>
      <c r="D347" t="s">
        <v>296</v>
      </c>
      <c r="E347" t="s">
        <v>91</v>
      </c>
      <c r="F347" t="s">
        <v>44</v>
      </c>
      <c r="G347" t="s">
        <v>156</v>
      </c>
      <c r="H347">
        <v>1</v>
      </c>
      <c r="I347" s="15">
        <v>27</v>
      </c>
      <c r="J347" s="16">
        <v>0</v>
      </c>
      <c r="K347" s="15">
        <f t="shared" si="10"/>
        <v>27</v>
      </c>
      <c r="L347" s="15">
        <f>ROUND(K347*VLOOKUP(F347,Reference!$A$4:$B$7,2,FALSE()),2)</f>
        <v>9.4499999999999993</v>
      </c>
      <c r="M347" t="s">
        <v>46</v>
      </c>
      <c r="N347" t="str">
        <f t="shared" si="11"/>
        <v>Dec-2024</v>
      </c>
    </row>
    <row r="348" spans="1:14" x14ac:dyDescent="0.3">
      <c r="A348">
        <v>10169</v>
      </c>
      <c r="B348" s="14" t="s">
        <v>402</v>
      </c>
      <c r="C348" t="s">
        <v>403</v>
      </c>
      <c r="D348" t="s">
        <v>404</v>
      </c>
      <c r="E348" t="s">
        <v>43</v>
      </c>
      <c r="F348" t="s">
        <v>44</v>
      </c>
      <c r="G348" t="s">
        <v>67</v>
      </c>
      <c r="H348">
        <v>9</v>
      </c>
      <c r="I348" s="15">
        <v>5.5</v>
      </c>
      <c r="J348" s="16">
        <v>0</v>
      </c>
      <c r="K348" s="15">
        <f t="shared" si="10"/>
        <v>49.5</v>
      </c>
      <c r="L348" s="15">
        <f>ROUND(K348*VLOOKUP(F348,Reference!$A$4:$B$7,2,FALSE()),2)</f>
        <v>17.329999999999998</v>
      </c>
      <c r="M348" t="s">
        <v>46</v>
      </c>
      <c r="N348" t="str">
        <f t="shared" si="11"/>
        <v>Dec-2024</v>
      </c>
    </row>
    <row r="349" spans="1:14" x14ac:dyDescent="0.3">
      <c r="A349">
        <v>10060</v>
      </c>
      <c r="B349" s="14" t="s">
        <v>402</v>
      </c>
      <c r="C349" t="s">
        <v>406</v>
      </c>
      <c r="D349" t="s">
        <v>407</v>
      </c>
      <c r="E349" t="s">
        <v>61</v>
      </c>
      <c r="F349" t="s">
        <v>50</v>
      </c>
      <c r="G349" t="s">
        <v>84</v>
      </c>
      <c r="H349">
        <v>3</v>
      </c>
      <c r="I349" s="15">
        <v>75.5</v>
      </c>
      <c r="J349" s="16">
        <v>0</v>
      </c>
      <c r="K349" s="15">
        <f t="shared" si="10"/>
        <v>226.5</v>
      </c>
      <c r="L349" s="15">
        <f>ROUND(K349*VLOOKUP(F349,Reference!$A$4:$B$7,2,FALSE()),2)</f>
        <v>40.770000000000003</v>
      </c>
      <c r="M349" t="s">
        <v>46</v>
      </c>
      <c r="N349" t="str">
        <f t="shared" si="11"/>
        <v>Dec-2024</v>
      </c>
    </row>
    <row r="350" spans="1:14" x14ac:dyDescent="0.3">
      <c r="A350">
        <v>10115</v>
      </c>
      <c r="B350" s="14" t="s">
        <v>601</v>
      </c>
      <c r="C350" t="s">
        <v>602</v>
      </c>
      <c r="D350" t="s">
        <v>603</v>
      </c>
      <c r="E350" t="s">
        <v>74</v>
      </c>
      <c r="F350" t="s">
        <v>56</v>
      </c>
      <c r="G350" t="s">
        <v>57</v>
      </c>
      <c r="H350">
        <v>2</v>
      </c>
      <c r="I350" s="15">
        <v>55</v>
      </c>
      <c r="J350" s="16">
        <v>0.05</v>
      </c>
      <c r="K350" s="15">
        <f t="shared" si="10"/>
        <v>104.5</v>
      </c>
      <c r="L350" s="15">
        <f>ROUND(K350*VLOOKUP(F350,Reference!$A$4:$B$7,2,FALSE()),2)</f>
        <v>22.99</v>
      </c>
      <c r="M350" t="s">
        <v>52</v>
      </c>
      <c r="N350" t="str">
        <f t="shared" si="11"/>
        <v>Dec-2024</v>
      </c>
    </row>
    <row r="351" spans="1:14" x14ac:dyDescent="0.3">
      <c r="A351">
        <v>10286</v>
      </c>
      <c r="B351" s="14" t="s">
        <v>601</v>
      </c>
      <c r="C351" t="s">
        <v>301</v>
      </c>
      <c r="D351" t="s">
        <v>357</v>
      </c>
      <c r="E351" t="s">
        <v>74</v>
      </c>
      <c r="F351" t="s">
        <v>75</v>
      </c>
      <c r="G351" t="s">
        <v>202</v>
      </c>
      <c r="H351">
        <v>6</v>
      </c>
      <c r="I351" s="15">
        <v>34.5</v>
      </c>
      <c r="J351" s="16">
        <v>0</v>
      </c>
      <c r="K351" s="15">
        <f t="shared" si="10"/>
        <v>207</v>
      </c>
      <c r="L351" s="15">
        <f>ROUND(K351*VLOOKUP(F351,Reference!$A$4:$B$7,2,FALSE()),2)</f>
        <v>57.96</v>
      </c>
      <c r="M351" t="s">
        <v>52</v>
      </c>
      <c r="N351" t="str">
        <f t="shared" si="11"/>
        <v>Dec-2024</v>
      </c>
    </row>
    <row r="352" spans="1:14" x14ac:dyDescent="0.3">
      <c r="A352">
        <v>10322</v>
      </c>
      <c r="B352" s="14" t="s">
        <v>181</v>
      </c>
      <c r="C352" t="s">
        <v>325</v>
      </c>
      <c r="D352" t="s">
        <v>311</v>
      </c>
      <c r="E352" t="s">
        <v>43</v>
      </c>
      <c r="F352" t="s">
        <v>50</v>
      </c>
      <c r="G352" t="s">
        <v>99</v>
      </c>
      <c r="H352">
        <v>1</v>
      </c>
      <c r="I352" s="15">
        <v>15</v>
      </c>
      <c r="J352" s="16">
        <v>0</v>
      </c>
      <c r="K352" s="15">
        <f t="shared" si="10"/>
        <v>15</v>
      </c>
      <c r="L352" s="15">
        <f>ROUND(K352*VLOOKUP(F352,Reference!$A$4:$B$7,2,FALSE()),2)</f>
        <v>2.7</v>
      </c>
      <c r="M352" t="s">
        <v>63</v>
      </c>
      <c r="N352" t="str">
        <f t="shared" si="11"/>
        <v>Dec-2024</v>
      </c>
    </row>
    <row r="353" spans="1:14" x14ac:dyDescent="0.3">
      <c r="A353">
        <v>10102</v>
      </c>
      <c r="B353" s="14" t="s">
        <v>181</v>
      </c>
      <c r="C353" t="s">
        <v>182</v>
      </c>
      <c r="D353" t="s">
        <v>183</v>
      </c>
      <c r="E353" t="s">
        <v>91</v>
      </c>
      <c r="F353" t="s">
        <v>56</v>
      </c>
      <c r="G353" t="s">
        <v>57</v>
      </c>
      <c r="H353">
        <v>8</v>
      </c>
      <c r="I353" s="15">
        <v>55</v>
      </c>
      <c r="J353" s="16">
        <v>0</v>
      </c>
      <c r="K353" s="15">
        <f t="shared" si="10"/>
        <v>440</v>
      </c>
      <c r="L353" s="15">
        <f>ROUND(K353*VLOOKUP(F353,Reference!$A$4:$B$7,2,FALSE()),2)</f>
        <v>96.8</v>
      </c>
      <c r="M353" t="s">
        <v>63</v>
      </c>
      <c r="N353" t="str">
        <f t="shared" si="11"/>
        <v>Dec-2024</v>
      </c>
    </row>
    <row r="354" spans="1:14" x14ac:dyDescent="0.3">
      <c r="A354">
        <v>10276</v>
      </c>
      <c r="B354" s="14" t="s">
        <v>470</v>
      </c>
      <c r="C354" t="s">
        <v>295</v>
      </c>
      <c r="D354" t="s">
        <v>471</v>
      </c>
      <c r="E354" t="s">
        <v>61</v>
      </c>
      <c r="F354" t="s">
        <v>44</v>
      </c>
      <c r="G354" t="s">
        <v>156</v>
      </c>
      <c r="H354">
        <v>2</v>
      </c>
      <c r="I354" s="15">
        <v>27</v>
      </c>
      <c r="J354" s="16">
        <v>0</v>
      </c>
      <c r="K354" s="15">
        <f t="shared" si="10"/>
        <v>54</v>
      </c>
      <c r="L354" s="15">
        <f>ROUND(K354*VLOOKUP(F354,Reference!$A$4:$B$7,2,FALSE()),2)</f>
        <v>18.899999999999999</v>
      </c>
      <c r="M354" t="s">
        <v>46</v>
      </c>
      <c r="N354" t="str">
        <f t="shared" si="11"/>
        <v>Dec-2024</v>
      </c>
    </row>
    <row r="355" spans="1:14" x14ac:dyDescent="0.3">
      <c r="A355">
        <v>10207</v>
      </c>
      <c r="B355" s="14" t="s">
        <v>377</v>
      </c>
      <c r="C355" t="s">
        <v>373</v>
      </c>
      <c r="D355" t="s">
        <v>469</v>
      </c>
      <c r="E355" t="s">
        <v>125</v>
      </c>
      <c r="F355" t="s">
        <v>75</v>
      </c>
      <c r="G355" t="s">
        <v>303</v>
      </c>
      <c r="H355">
        <v>2</v>
      </c>
      <c r="I355" s="15">
        <v>29.99</v>
      </c>
      <c r="J355" s="16">
        <v>0.05</v>
      </c>
      <c r="K355" s="15">
        <f t="shared" si="10"/>
        <v>56.98</v>
      </c>
      <c r="L355" s="15">
        <f>ROUND(K355*VLOOKUP(F355,Reference!$A$4:$B$7,2,FALSE()),2)</f>
        <v>15.95</v>
      </c>
      <c r="M355" t="s">
        <v>63</v>
      </c>
      <c r="N355" t="str">
        <f t="shared" si="11"/>
        <v>Dec-2024</v>
      </c>
    </row>
    <row r="356" spans="1:14" x14ac:dyDescent="0.3">
      <c r="A356">
        <v>10306</v>
      </c>
      <c r="B356" s="14" t="s">
        <v>377</v>
      </c>
      <c r="C356" t="s">
        <v>378</v>
      </c>
      <c r="D356" t="s">
        <v>379</v>
      </c>
      <c r="E356" t="s">
        <v>61</v>
      </c>
      <c r="F356" t="s">
        <v>75</v>
      </c>
      <c r="G356" t="s">
        <v>126</v>
      </c>
      <c r="H356">
        <v>6</v>
      </c>
      <c r="I356" s="15">
        <v>12.99</v>
      </c>
      <c r="J356" s="16">
        <v>0</v>
      </c>
      <c r="K356" s="15">
        <f t="shared" si="10"/>
        <v>77.94</v>
      </c>
      <c r="L356" s="15">
        <f>ROUND(K356*VLOOKUP(F356,Reference!$A$4:$B$7,2,FALSE()),2)</f>
        <v>21.82</v>
      </c>
      <c r="M356" t="s">
        <v>52</v>
      </c>
      <c r="N356" t="str">
        <f t="shared" si="11"/>
        <v>Dec-2024</v>
      </c>
    </row>
    <row r="357" spans="1:14" x14ac:dyDescent="0.3">
      <c r="A357">
        <v>10039</v>
      </c>
      <c r="B357" s="14" t="s">
        <v>415</v>
      </c>
      <c r="C357" t="s">
        <v>416</v>
      </c>
      <c r="D357" t="s">
        <v>417</v>
      </c>
      <c r="E357" t="s">
        <v>125</v>
      </c>
      <c r="F357" t="s">
        <v>75</v>
      </c>
      <c r="G357" t="s">
        <v>76</v>
      </c>
      <c r="H357">
        <v>9</v>
      </c>
      <c r="I357" s="15">
        <v>22</v>
      </c>
      <c r="J357" s="16">
        <v>0.2</v>
      </c>
      <c r="K357" s="15">
        <f t="shared" si="10"/>
        <v>158.4</v>
      </c>
      <c r="L357" s="15">
        <f>ROUND(K357*VLOOKUP(F357,Reference!$A$4:$B$7,2,FALSE()),2)</f>
        <v>44.35</v>
      </c>
      <c r="M357" t="s">
        <v>63</v>
      </c>
      <c r="N357" t="str">
        <f t="shared" si="11"/>
        <v>Dec-2024</v>
      </c>
    </row>
    <row r="358" spans="1:14" x14ac:dyDescent="0.3">
      <c r="A358">
        <v>10009</v>
      </c>
      <c r="B358" s="14" t="s">
        <v>264</v>
      </c>
      <c r="C358" t="s">
        <v>265</v>
      </c>
      <c r="D358" t="s">
        <v>266</v>
      </c>
      <c r="E358" t="s">
        <v>74</v>
      </c>
      <c r="F358" t="s">
        <v>75</v>
      </c>
      <c r="G358" t="s">
        <v>202</v>
      </c>
      <c r="H358">
        <v>1</v>
      </c>
      <c r="I358" s="15">
        <v>34.5</v>
      </c>
      <c r="J358" s="16">
        <v>0.15</v>
      </c>
      <c r="K358" s="15">
        <f t="shared" si="10"/>
        <v>29.33</v>
      </c>
      <c r="L358" s="15">
        <f>ROUND(K358*VLOOKUP(F358,Reference!$A$4:$B$7,2,FALSE()),2)</f>
        <v>8.2100000000000009</v>
      </c>
      <c r="M358" t="s">
        <v>46</v>
      </c>
      <c r="N358" t="str">
        <f t="shared" si="11"/>
        <v>Dec-2024</v>
      </c>
    </row>
    <row r="359" spans="1:14" x14ac:dyDescent="0.3">
      <c r="A359">
        <v>10085</v>
      </c>
      <c r="B359" s="14" t="s">
        <v>425</v>
      </c>
      <c r="C359" t="s">
        <v>426</v>
      </c>
      <c r="D359" t="s">
        <v>87</v>
      </c>
      <c r="E359" t="s">
        <v>125</v>
      </c>
      <c r="F359" t="s">
        <v>44</v>
      </c>
      <c r="G359" t="s">
        <v>106</v>
      </c>
      <c r="H359">
        <v>4</v>
      </c>
      <c r="I359" s="15">
        <v>6.75</v>
      </c>
      <c r="J359" s="16">
        <v>0.2</v>
      </c>
      <c r="K359" s="15">
        <f t="shared" si="10"/>
        <v>21.6</v>
      </c>
      <c r="L359" s="15">
        <f>ROUND(K359*VLOOKUP(F359,Reference!$A$4:$B$7,2,FALSE()),2)</f>
        <v>7.56</v>
      </c>
      <c r="M359" t="s">
        <v>52</v>
      </c>
      <c r="N359" t="str">
        <f t="shared" si="11"/>
        <v>Dec-2024</v>
      </c>
    </row>
    <row r="360" spans="1:14" x14ac:dyDescent="0.3">
      <c r="A360">
        <v>10067</v>
      </c>
      <c r="B360" s="14" t="s">
        <v>173</v>
      </c>
      <c r="C360" t="s">
        <v>229</v>
      </c>
      <c r="D360" t="s">
        <v>79</v>
      </c>
      <c r="E360" t="s">
        <v>125</v>
      </c>
      <c r="F360" t="s">
        <v>75</v>
      </c>
      <c r="G360" t="s">
        <v>76</v>
      </c>
      <c r="H360">
        <v>10</v>
      </c>
      <c r="I360" s="15">
        <v>22</v>
      </c>
      <c r="J360" s="16">
        <v>0</v>
      </c>
      <c r="K360" s="15">
        <f t="shared" si="10"/>
        <v>220</v>
      </c>
      <c r="L360" s="15">
        <f>ROUND(K360*VLOOKUP(F360,Reference!$A$4:$B$7,2,FALSE()),2)</f>
        <v>61.6</v>
      </c>
      <c r="M360" t="s">
        <v>52</v>
      </c>
      <c r="N360" t="str">
        <f t="shared" si="11"/>
        <v>Dec-2024</v>
      </c>
    </row>
    <row r="361" spans="1:14" x14ac:dyDescent="0.3">
      <c r="A361">
        <v>10144</v>
      </c>
      <c r="B361" s="14" t="s">
        <v>173</v>
      </c>
      <c r="C361" t="s">
        <v>174</v>
      </c>
      <c r="D361" t="s">
        <v>175</v>
      </c>
      <c r="E361" t="s">
        <v>74</v>
      </c>
      <c r="F361" t="s">
        <v>75</v>
      </c>
      <c r="G361" t="s">
        <v>95</v>
      </c>
      <c r="H361">
        <v>2</v>
      </c>
      <c r="I361" s="15">
        <v>18.75</v>
      </c>
      <c r="J361" s="16">
        <v>0.05</v>
      </c>
      <c r="K361" s="15">
        <f t="shared" si="10"/>
        <v>35.630000000000003</v>
      </c>
      <c r="L361" s="15">
        <f>ROUND(K361*VLOOKUP(F361,Reference!$A$4:$B$7,2,FALSE()),2)</f>
        <v>9.98</v>
      </c>
      <c r="M361" t="s">
        <v>63</v>
      </c>
      <c r="N361" t="str">
        <f t="shared" si="11"/>
        <v>Dec-2024</v>
      </c>
    </row>
    <row r="362" spans="1:14" x14ac:dyDescent="0.3">
      <c r="A362">
        <v>10373</v>
      </c>
      <c r="B362" s="14" t="s">
        <v>579</v>
      </c>
      <c r="C362" t="s">
        <v>452</v>
      </c>
      <c r="D362" t="s">
        <v>322</v>
      </c>
      <c r="E362" t="s">
        <v>61</v>
      </c>
      <c r="F362" t="s">
        <v>75</v>
      </c>
      <c r="G362" t="s">
        <v>95</v>
      </c>
      <c r="H362">
        <v>6</v>
      </c>
      <c r="I362" s="15">
        <v>18.75</v>
      </c>
      <c r="J362" s="16">
        <v>0.05</v>
      </c>
      <c r="K362" s="15">
        <f t="shared" si="10"/>
        <v>106.88</v>
      </c>
      <c r="L362" s="15">
        <f>ROUND(K362*VLOOKUP(F362,Reference!$A$4:$B$7,2,FALSE()),2)</f>
        <v>29.93</v>
      </c>
      <c r="M362" t="s">
        <v>52</v>
      </c>
      <c r="N362" t="str">
        <f t="shared" si="11"/>
        <v>Dec-2024</v>
      </c>
    </row>
    <row r="363" spans="1:14" x14ac:dyDescent="0.3">
      <c r="A363">
        <v>10287</v>
      </c>
      <c r="B363" s="14" t="s">
        <v>579</v>
      </c>
      <c r="C363" t="s">
        <v>498</v>
      </c>
      <c r="D363" t="s">
        <v>379</v>
      </c>
      <c r="E363" t="s">
        <v>125</v>
      </c>
      <c r="F363" t="s">
        <v>56</v>
      </c>
      <c r="G363" t="s">
        <v>366</v>
      </c>
      <c r="H363">
        <v>10</v>
      </c>
      <c r="I363" s="15">
        <v>38.5</v>
      </c>
      <c r="J363" s="16">
        <v>0</v>
      </c>
      <c r="K363" s="15">
        <f t="shared" si="10"/>
        <v>385</v>
      </c>
      <c r="L363" s="15">
        <f>ROUND(K363*VLOOKUP(F363,Reference!$A$4:$B$7,2,FALSE()),2)</f>
        <v>84.7</v>
      </c>
      <c r="M363" t="s">
        <v>52</v>
      </c>
      <c r="N363" t="str">
        <f t="shared" si="11"/>
        <v>Dec-2024</v>
      </c>
    </row>
    <row r="364" spans="1:14" x14ac:dyDescent="0.3">
      <c r="A364">
        <v>10052</v>
      </c>
      <c r="B364" s="14" t="s">
        <v>443</v>
      </c>
      <c r="C364" t="s">
        <v>273</v>
      </c>
      <c r="D364" t="s">
        <v>444</v>
      </c>
      <c r="E364" t="s">
        <v>61</v>
      </c>
      <c r="F364" t="s">
        <v>56</v>
      </c>
      <c r="G364" t="s">
        <v>366</v>
      </c>
      <c r="H364">
        <v>4</v>
      </c>
      <c r="I364" s="15">
        <v>38.5</v>
      </c>
      <c r="J364" s="16">
        <v>0</v>
      </c>
      <c r="K364" s="15">
        <f t="shared" si="10"/>
        <v>154</v>
      </c>
      <c r="L364" s="15">
        <f>ROUND(K364*VLOOKUP(F364,Reference!$A$4:$B$7,2,FALSE()),2)</f>
        <v>33.880000000000003</v>
      </c>
      <c r="M364" t="s">
        <v>52</v>
      </c>
      <c r="N364" t="str">
        <f t="shared" si="11"/>
        <v>Dec-2024</v>
      </c>
    </row>
    <row r="365" spans="1:14" x14ac:dyDescent="0.3">
      <c r="A365">
        <v>10109</v>
      </c>
      <c r="B365" s="14" t="s">
        <v>92</v>
      </c>
      <c r="C365" t="s">
        <v>93</v>
      </c>
      <c r="D365" t="s">
        <v>94</v>
      </c>
      <c r="E365" t="s">
        <v>74</v>
      </c>
      <c r="F365" t="s">
        <v>75</v>
      </c>
      <c r="G365" t="s">
        <v>95</v>
      </c>
      <c r="H365">
        <v>5</v>
      </c>
      <c r="I365" s="15">
        <v>18.75</v>
      </c>
      <c r="J365" s="16">
        <v>0</v>
      </c>
      <c r="K365" s="15">
        <f t="shared" si="10"/>
        <v>93.75</v>
      </c>
      <c r="L365" s="15">
        <f>ROUND(K365*VLOOKUP(F365,Reference!$A$4:$B$7,2,FALSE()),2)</f>
        <v>26.25</v>
      </c>
      <c r="M365" t="s">
        <v>46</v>
      </c>
      <c r="N365" t="str">
        <f t="shared" si="11"/>
        <v>Dec-2024</v>
      </c>
    </row>
    <row r="366" spans="1:14" x14ac:dyDescent="0.3">
      <c r="A366">
        <v>10041</v>
      </c>
      <c r="B366" s="14" t="s">
        <v>187</v>
      </c>
      <c r="C366" t="s">
        <v>260</v>
      </c>
      <c r="D366" t="s">
        <v>261</v>
      </c>
      <c r="E366" t="s">
        <v>43</v>
      </c>
      <c r="F366" t="s">
        <v>56</v>
      </c>
      <c r="G366" t="s">
        <v>133</v>
      </c>
      <c r="H366">
        <v>8</v>
      </c>
      <c r="I366" s="15">
        <v>9.99</v>
      </c>
      <c r="J366" s="16">
        <v>0.05</v>
      </c>
      <c r="K366" s="15">
        <f t="shared" si="10"/>
        <v>75.92</v>
      </c>
      <c r="L366" s="15">
        <f>ROUND(K366*VLOOKUP(F366,Reference!$A$4:$B$7,2,FALSE()),2)</f>
        <v>16.7</v>
      </c>
      <c r="M366" t="s">
        <v>52</v>
      </c>
      <c r="N366" t="str">
        <f t="shared" si="11"/>
        <v>Dec-2024</v>
      </c>
    </row>
    <row r="367" spans="1:14" x14ac:dyDescent="0.3">
      <c r="A367">
        <v>10129</v>
      </c>
      <c r="B367" s="14" t="s">
        <v>187</v>
      </c>
      <c r="C367" t="s">
        <v>188</v>
      </c>
      <c r="D367" t="s">
        <v>189</v>
      </c>
      <c r="E367" t="s">
        <v>43</v>
      </c>
      <c r="F367" t="s">
        <v>50</v>
      </c>
      <c r="G367" t="s">
        <v>84</v>
      </c>
      <c r="H367">
        <v>8</v>
      </c>
      <c r="I367" s="15">
        <v>75.5</v>
      </c>
      <c r="J367" s="16">
        <v>0.05</v>
      </c>
      <c r="K367" s="15">
        <f t="shared" si="10"/>
        <v>573.79999999999995</v>
      </c>
      <c r="L367" s="15">
        <f>ROUND(K367*VLOOKUP(F367,Reference!$A$4:$B$7,2,FALSE()),2)</f>
        <v>103.28</v>
      </c>
      <c r="M367" t="s">
        <v>52</v>
      </c>
      <c r="N367" t="str">
        <f t="shared" si="11"/>
        <v>Dec-2024</v>
      </c>
    </row>
    <row r="368" spans="1:14" x14ac:dyDescent="0.3">
      <c r="A368">
        <v>10156</v>
      </c>
      <c r="B368" s="14" t="s">
        <v>187</v>
      </c>
      <c r="C368" t="s">
        <v>378</v>
      </c>
      <c r="D368" t="s">
        <v>284</v>
      </c>
      <c r="E368" t="s">
        <v>91</v>
      </c>
      <c r="F368" t="s">
        <v>75</v>
      </c>
      <c r="G368" t="s">
        <v>95</v>
      </c>
      <c r="H368">
        <v>9</v>
      </c>
      <c r="I368" s="15">
        <v>18.75</v>
      </c>
      <c r="J368" s="16">
        <v>0.15</v>
      </c>
      <c r="K368" s="15">
        <f t="shared" si="10"/>
        <v>143.44</v>
      </c>
      <c r="L368" s="15">
        <f>ROUND(K368*VLOOKUP(F368,Reference!$A$4:$B$7,2,FALSE()),2)</f>
        <v>40.159999999999997</v>
      </c>
      <c r="M368" t="s">
        <v>63</v>
      </c>
      <c r="N368" t="str">
        <f t="shared" si="11"/>
        <v>Dec-2024</v>
      </c>
    </row>
    <row r="369" spans="1:14" x14ac:dyDescent="0.3">
      <c r="A369">
        <v>10078</v>
      </c>
      <c r="B369" s="14" t="s">
        <v>582</v>
      </c>
      <c r="C369" t="s">
        <v>383</v>
      </c>
      <c r="D369" t="s">
        <v>286</v>
      </c>
      <c r="E369" t="s">
        <v>91</v>
      </c>
      <c r="F369" t="s">
        <v>50</v>
      </c>
      <c r="G369" t="s">
        <v>62</v>
      </c>
      <c r="H369">
        <v>1</v>
      </c>
      <c r="I369" s="15">
        <v>65</v>
      </c>
      <c r="J369" s="16">
        <v>0</v>
      </c>
      <c r="K369" s="15">
        <f t="shared" si="10"/>
        <v>65</v>
      </c>
      <c r="L369" s="15">
        <f>ROUND(K369*VLOOKUP(F369,Reference!$A$4:$B$7,2,FALSE()),2)</f>
        <v>11.7</v>
      </c>
      <c r="M369" t="s">
        <v>63</v>
      </c>
      <c r="N369" t="str">
        <f t="shared" si="11"/>
        <v>Dec-2024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zoomScaleNormal="100" workbookViewId="0">
      <selection sqref="A1:F1"/>
    </sheetView>
  </sheetViews>
  <sheetFormatPr defaultColWidth="8.6640625" defaultRowHeight="14.4" x14ac:dyDescent="0.3"/>
  <cols>
    <col min="1" max="4" width="14" customWidth="1"/>
    <col min="5" max="5" width="17" customWidth="1"/>
  </cols>
  <sheetData>
    <row r="1" spans="1:6" ht="25.5" customHeight="1" x14ac:dyDescent="0.3">
      <c r="A1" s="5" t="s">
        <v>646</v>
      </c>
      <c r="B1" s="5"/>
      <c r="C1" s="5"/>
      <c r="D1" s="5"/>
      <c r="E1" s="5"/>
      <c r="F1" s="5"/>
    </row>
    <row r="3" spans="1:6" x14ac:dyDescent="0.3">
      <c r="A3" s="4" t="s">
        <v>647</v>
      </c>
      <c r="B3" s="4"/>
      <c r="C3" s="4"/>
      <c r="D3" s="4"/>
      <c r="E3" s="4"/>
    </row>
    <row r="4" spans="1:6" ht="27.6" x14ac:dyDescent="0.3">
      <c r="A4" s="11" t="s">
        <v>31</v>
      </c>
      <c r="B4" s="11" t="s">
        <v>648</v>
      </c>
      <c r="C4" s="11" t="s">
        <v>649</v>
      </c>
      <c r="D4" s="11" t="s">
        <v>650</v>
      </c>
      <c r="E4" s="11" t="s">
        <v>651</v>
      </c>
    </row>
    <row r="5" spans="1:6" x14ac:dyDescent="0.3">
      <c r="A5" t="s">
        <v>43</v>
      </c>
      <c r="B5" s="15">
        <f>SUMIFS(Cleaned_Data!$K$4:$K$369,Cleaned_Data!$E$4:$E$369,A5)</f>
        <v>12826.569999999996</v>
      </c>
      <c r="C5" s="15">
        <f>SUMIFS(Cleaned_Data!$L$4:$L$369,Cleaned_Data!$E$4:$E$369,A5)</f>
        <v>2839.2500000000009</v>
      </c>
      <c r="D5">
        <f>COUNTIFS(Cleaned_Data!$E$4:$E$369,A5)</f>
        <v>75</v>
      </c>
      <c r="E5" s="15">
        <f>IFERROR(B5/D5,0)</f>
        <v>171.02093333333329</v>
      </c>
    </row>
    <row r="6" spans="1:6" x14ac:dyDescent="0.3">
      <c r="A6" t="s">
        <v>125</v>
      </c>
      <c r="B6" s="15">
        <f>SUMIFS(Cleaned_Data!$K$4:$K$369,Cleaned_Data!$E$4:$E$369,A6)</f>
        <v>12192.13</v>
      </c>
      <c r="C6" s="15">
        <f>SUMIFS(Cleaned_Data!$L$4:$L$369,Cleaned_Data!$E$4:$E$369,A6)</f>
        <v>2580.5199999999995</v>
      </c>
      <c r="D6">
        <f>COUNTIFS(Cleaned_Data!$E$4:$E$369,A6)</f>
        <v>65</v>
      </c>
      <c r="E6" s="15">
        <f>IFERROR(B6/D6,0)</f>
        <v>187.57123076923077</v>
      </c>
    </row>
    <row r="7" spans="1:6" x14ac:dyDescent="0.3">
      <c r="A7" t="s">
        <v>74</v>
      </c>
      <c r="B7" s="15">
        <f>SUMIFS(Cleaned_Data!$K$4:$K$369,Cleaned_Data!$E$4:$E$369,A7)</f>
        <v>10840.839999999998</v>
      </c>
      <c r="C7" s="15">
        <f>SUMIFS(Cleaned_Data!$L$4:$L$369,Cleaned_Data!$E$4:$E$369,A7)</f>
        <v>2442.1999999999998</v>
      </c>
      <c r="D7">
        <f>COUNTIFS(Cleaned_Data!$E$4:$E$369,A7)</f>
        <v>75</v>
      </c>
      <c r="E7" s="15">
        <f>IFERROR(B7/D7,0)</f>
        <v>144.54453333333331</v>
      </c>
    </row>
    <row r="8" spans="1:6" x14ac:dyDescent="0.3">
      <c r="A8" t="s">
        <v>61</v>
      </c>
      <c r="B8" s="15">
        <f>SUMIFS(Cleaned_Data!$K$4:$K$369,Cleaned_Data!$E$4:$E$369,A8)</f>
        <v>13643.61</v>
      </c>
      <c r="C8" s="15">
        <f>SUMIFS(Cleaned_Data!$L$4:$L$369,Cleaned_Data!$E$4:$E$369,A8)</f>
        <v>3005.5499999999984</v>
      </c>
      <c r="D8">
        <f>COUNTIFS(Cleaned_Data!$E$4:$E$369,A8)</f>
        <v>79</v>
      </c>
      <c r="E8" s="15">
        <f>IFERROR(B8/D8,0)</f>
        <v>172.70392405063291</v>
      </c>
    </row>
    <row r="9" spans="1:6" x14ac:dyDescent="0.3">
      <c r="A9" t="s">
        <v>91</v>
      </c>
      <c r="B9" s="15">
        <f>SUMIFS(Cleaned_Data!$K$4:$K$369,Cleaned_Data!$E$4:$E$369,A9)</f>
        <v>12435.629999999997</v>
      </c>
      <c r="C9" s="15">
        <f>SUMIFS(Cleaned_Data!$L$4:$L$369,Cleaned_Data!$E$4:$E$369,A9)</f>
        <v>2714.8399999999992</v>
      </c>
      <c r="D9">
        <f>COUNTIFS(Cleaned_Data!$E$4:$E$369,A9)</f>
        <v>72</v>
      </c>
      <c r="E9" s="15">
        <f>IFERROR(B9/D9,0)</f>
        <v>172.71708333333331</v>
      </c>
    </row>
    <row r="12" spans="1:6" x14ac:dyDescent="0.3">
      <c r="A12" s="4" t="s">
        <v>652</v>
      </c>
      <c r="B12" s="4"/>
      <c r="C12" s="4"/>
      <c r="D12" s="4"/>
      <c r="E12" s="4"/>
    </row>
    <row r="13" spans="1:6" ht="27.6" x14ac:dyDescent="0.3">
      <c r="A13" s="11" t="s">
        <v>32</v>
      </c>
      <c r="B13" s="11" t="s">
        <v>648</v>
      </c>
      <c r="C13" s="11" t="s">
        <v>649</v>
      </c>
      <c r="D13" s="11" t="s">
        <v>650</v>
      </c>
      <c r="E13" s="11" t="s">
        <v>651</v>
      </c>
    </row>
    <row r="14" spans="1:6" x14ac:dyDescent="0.3">
      <c r="A14" t="s">
        <v>75</v>
      </c>
      <c r="B14" s="15">
        <f>SUMIFS(Cleaned_Data!$K$4:$K$369,Cleaned_Data!$F$4:$F$369,A14)</f>
        <v>9528.8899999999976</v>
      </c>
      <c r="C14" s="15">
        <f>SUMIFS(Cleaned_Data!$L$4:$L$369,Cleaned_Data!$F$4:$F$369,A14)</f>
        <v>2668.0899999999983</v>
      </c>
      <c r="D14">
        <f>COUNTIFS(Cleaned_Data!$F$4:$F$369,A14)</f>
        <v>81</v>
      </c>
      <c r="E14" s="15">
        <f>IFERROR(B14/D14,0)</f>
        <v>117.64061728395059</v>
      </c>
    </row>
    <row r="15" spans="1:6" x14ac:dyDescent="0.3">
      <c r="A15" t="s">
        <v>50</v>
      </c>
      <c r="B15" s="15">
        <f>SUMIFS(Cleaned_Data!$K$4:$K$369,Cleaned_Data!$F$4:$F$369,A15)</f>
        <v>30998.36</v>
      </c>
      <c r="C15" s="15">
        <f>SUMIFS(Cleaned_Data!$L$4:$L$369,Cleaned_Data!$F$4:$F$369,A15)</f>
        <v>5579.7100000000009</v>
      </c>
      <c r="D15">
        <f>COUNTIFS(Cleaned_Data!$F$4:$F$369,A15)</f>
        <v>78</v>
      </c>
      <c r="E15" s="15">
        <f>IFERROR(B15/D15,0)</f>
        <v>397.41487179487183</v>
      </c>
    </row>
    <row r="16" spans="1:6" x14ac:dyDescent="0.3">
      <c r="A16" t="s">
        <v>44</v>
      </c>
      <c r="B16" s="15">
        <f>SUMIFS(Cleaned_Data!$K$4:$K$369,Cleaned_Data!$F$4:$F$369,A16)</f>
        <v>4798.8900000000012</v>
      </c>
      <c r="C16" s="15">
        <f>SUMIFS(Cleaned_Data!$L$4:$L$369,Cleaned_Data!$F$4:$F$369,A16)</f>
        <v>1679.7400000000002</v>
      </c>
      <c r="D16">
        <f>COUNTIFS(Cleaned_Data!$F$4:$F$369,A16)</f>
        <v>100</v>
      </c>
      <c r="E16" s="15">
        <f>IFERROR(B16/D16,0)</f>
        <v>47.988900000000015</v>
      </c>
    </row>
    <row r="17" spans="1:5" x14ac:dyDescent="0.3">
      <c r="A17" t="s">
        <v>56</v>
      </c>
      <c r="B17" s="15">
        <f>SUMIFS(Cleaned_Data!$K$4:$K$369,Cleaned_Data!$F$4:$F$369,A17)</f>
        <v>16612.639999999992</v>
      </c>
      <c r="C17" s="15">
        <f>SUMIFS(Cleaned_Data!$L$4:$L$369,Cleaned_Data!$F$4:$F$369,A17)</f>
        <v>3654.8199999999983</v>
      </c>
      <c r="D17">
        <f>COUNTIFS(Cleaned_Data!$F$4:$F$369,A17)</f>
        <v>107</v>
      </c>
      <c r="E17" s="15">
        <f>IFERROR(B17/D17,0)</f>
        <v>155.25831775700928</v>
      </c>
    </row>
    <row r="20" spans="1:5" x14ac:dyDescent="0.3">
      <c r="A20" s="4" t="s">
        <v>653</v>
      </c>
      <c r="B20" s="4"/>
      <c r="C20" s="4"/>
    </row>
    <row r="21" spans="1:5" x14ac:dyDescent="0.3">
      <c r="A21" s="11" t="s">
        <v>654</v>
      </c>
      <c r="B21" s="11" t="s">
        <v>648</v>
      </c>
      <c r="C21" s="11" t="s">
        <v>649</v>
      </c>
    </row>
    <row r="22" spans="1:5" x14ac:dyDescent="0.3">
      <c r="A22" t="s">
        <v>655</v>
      </c>
      <c r="B22" s="15">
        <f>SUMIFS(Cleaned_Data!$K$4:$K$369,Cleaned_Data!$N$4:$N$369,A22)</f>
        <v>4785.91</v>
      </c>
      <c r="C22" s="15">
        <f>SUMIFS(Cleaned_Data!$L$4:$L$369,Cleaned_Data!$N$4:$N$369,A22)</f>
        <v>1044.8899999999999</v>
      </c>
    </row>
    <row r="23" spans="1:5" x14ac:dyDescent="0.3">
      <c r="A23" t="s">
        <v>656</v>
      </c>
      <c r="B23" s="15">
        <f>SUMIFS(Cleaned_Data!$K$4:$K$369,Cleaned_Data!$N$4:$N$369,A23)</f>
        <v>6279.0899999999992</v>
      </c>
      <c r="C23" s="15">
        <f>SUMIFS(Cleaned_Data!$L$4:$L$369,Cleaned_Data!$N$4:$N$369,A23)</f>
        <v>1313.8099999999997</v>
      </c>
    </row>
    <row r="24" spans="1:5" x14ac:dyDescent="0.3">
      <c r="A24" t="s">
        <v>657</v>
      </c>
      <c r="B24" s="15">
        <f>SUMIFS(Cleaned_Data!$K$4:$K$369,Cleaned_Data!$N$4:$N$369,A24)</f>
        <v>4719.0400000000009</v>
      </c>
      <c r="C24" s="15">
        <f>SUMIFS(Cleaned_Data!$L$4:$L$369,Cleaned_Data!$N$4:$N$369,A24)</f>
        <v>1098.1399999999999</v>
      </c>
    </row>
    <row r="25" spans="1:5" x14ac:dyDescent="0.3">
      <c r="A25" t="s">
        <v>658</v>
      </c>
      <c r="B25" s="15">
        <f>SUMIFS(Cleaned_Data!$K$4:$K$369,Cleaned_Data!$N$4:$N$369,A25)</f>
        <v>4198.4800000000005</v>
      </c>
      <c r="C25" s="15">
        <f>SUMIFS(Cleaned_Data!$L$4:$L$369,Cleaned_Data!$N$4:$N$369,A25)</f>
        <v>956.52</v>
      </c>
    </row>
    <row r="26" spans="1:5" x14ac:dyDescent="0.3">
      <c r="A26" t="s">
        <v>659</v>
      </c>
      <c r="B26" s="15">
        <f>SUMIFS(Cleaned_Data!$K$4:$K$369,Cleaned_Data!$N$4:$N$369,A26)</f>
        <v>4189.1099999999997</v>
      </c>
      <c r="C26" s="15">
        <f>SUMIFS(Cleaned_Data!$L$4:$L$369,Cleaned_Data!$N$4:$N$369,A26)</f>
        <v>941.93</v>
      </c>
    </row>
    <row r="27" spans="1:5" x14ac:dyDescent="0.3">
      <c r="A27" t="s">
        <v>660</v>
      </c>
      <c r="B27" s="15">
        <f>SUMIFS(Cleaned_Data!$K$4:$K$369,Cleaned_Data!$N$4:$N$369,A27)</f>
        <v>6150.2199999999993</v>
      </c>
      <c r="C27" s="15">
        <f>SUMIFS(Cleaned_Data!$L$4:$L$369,Cleaned_Data!$N$4:$N$369,A27)</f>
        <v>1392.7400000000002</v>
      </c>
    </row>
    <row r="28" spans="1:5" x14ac:dyDescent="0.3">
      <c r="A28" t="s">
        <v>661</v>
      </c>
      <c r="B28" s="15">
        <f>SUMIFS(Cleaned_Data!$K$4:$K$369,Cleaned_Data!$N$4:$N$369,A28)</f>
        <v>4279.26</v>
      </c>
      <c r="C28" s="15">
        <f>SUMIFS(Cleaned_Data!$L$4:$L$369,Cleaned_Data!$N$4:$N$369,A28)</f>
        <v>968.07999999999993</v>
      </c>
    </row>
    <row r="29" spans="1:5" x14ac:dyDescent="0.3">
      <c r="A29" t="s">
        <v>662</v>
      </c>
      <c r="B29" s="15">
        <f>SUMIFS(Cleaned_Data!$K$4:$K$369,Cleaned_Data!$N$4:$N$369,A29)</f>
        <v>5068.45</v>
      </c>
      <c r="C29" s="15">
        <f>SUMIFS(Cleaned_Data!$L$4:$L$369,Cleaned_Data!$N$4:$N$369,A29)</f>
        <v>1123.5899999999999</v>
      </c>
    </row>
    <row r="30" spans="1:5" x14ac:dyDescent="0.3">
      <c r="A30" t="s">
        <v>663</v>
      </c>
      <c r="B30" s="15">
        <f>SUMIFS(Cleaned_Data!$K$4:$K$369,Cleaned_Data!$N$4:$N$369,A30)</f>
        <v>7371.42</v>
      </c>
      <c r="C30" s="15">
        <f>SUMIFS(Cleaned_Data!$L$4:$L$369,Cleaned_Data!$N$4:$N$369,A30)</f>
        <v>1526.0100000000002</v>
      </c>
    </row>
    <row r="31" spans="1:5" x14ac:dyDescent="0.3">
      <c r="A31" t="s">
        <v>664</v>
      </c>
      <c r="B31" s="15">
        <f>SUMIFS(Cleaned_Data!$K$4:$K$369,Cleaned_Data!$N$4:$N$369,A31)</f>
        <v>4600.4999999999991</v>
      </c>
      <c r="C31" s="15">
        <f>SUMIFS(Cleaned_Data!$L$4:$L$369,Cleaned_Data!$N$4:$N$369,A31)</f>
        <v>971.88000000000011</v>
      </c>
    </row>
    <row r="32" spans="1:5" x14ac:dyDescent="0.3">
      <c r="A32" t="s">
        <v>665</v>
      </c>
      <c r="B32" s="15">
        <f>SUMIFS(Cleaned_Data!$K$4:$K$369,Cleaned_Data!$N$4:$N$369,A32)</f>
        <v>6127.85</v>
      </c>
      <c r="C32" s="15">
        <f>SUMIFS(Cleaned_Data!$L$4:$L$369,Cleaned_Data!$N$4:$N$369,A32)</f>
        <v>1288.6399999999999</v>
      </c>
    </row>
    <row r="33" spans="1:3" x14ac:dyDescent="0.3">
      <c r="A33" t="s">
        <v>666</v>
      </c>
      <c r="B33" s="15">
        <f>SUMIFS(Cleaned_Data!$K$4:$K$369,Cleaned_Data!$N$4:$N$369,A33)</f>
        <v>4169.45</v>
      </c>
      <c r="C33" s="15">
        <f>SUMIFS(Cleaned_Data!$L$4:$L$369,Cleaned_Data!$N$4:$N$369,A33)</f>
        <v>956.12999999999988</v>
      </c>
    </row>
  </sheetData>
  <mergeCells count="4">
    <mergeCell ref="A1:F1"/>
    <mergeCell ref="A3:E3"/>
    <mergeCell ref="A12:E12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2" width="62" customWidth="1"/>
    <col min="3" max="3" width="16" customWidth="1"/>
    <col min="4" max="4" width="42" customWidth="1"/>
  </cols>
  <sheetData>
    <row r="1" spans="1:6" ht="25.5" customHeight="1" x14ac:dyDescent="0.3">
      <c r="A1" s="5" t="s">
        <v>632</v>
      </c>
      <c r="B1" s="5"/>
      <c r="C1" s="5"/>
      <c r="D1" s="5"/>
      <c r="E1" s="5"/>
      <c r="F1" s="5"/>
    </row>
    <row r="3" spans="1:6" x14ac:dyDescent="0.3">
      <c r="A3" s="4" t="s">
        <v>633</v>
      </c>
      <c r="B3" s="4"/>
      <c r="C3" s="4"/>
      <c r="D3" s="4"/>
      <c r="E3" s="4"/>
      <c r="F3" s="4"/>
    </row>
    <row r="4" spans="1:6" x14ac:dyDescent="0.3">
      <c r="A4" t="s">
        <v>634</v>
      </c>
      <c r="B4" s="17" t="s">
        <v>75</v>
      </c>
    </row>
    <row r="5" spans="1:6" x14ac:dyDescent="0.3">
      <c r="A5" t="s">
        <v>635</v>
      </c>
      <c r="B5" s="12">
        <f>IFERROR(VLOOKUP(B4,Reference!$A$4:$B$7,2,FALSE()),"Not found")</f>
        <v>0.28000000000000003</v>
      </c>
    </row>
    <row r="6" spans="1:6" x14ac:dyDescent="0.3">
      <c r="A6" t="s">
        <v>636</v>
      </c>
      <c r="B6" s="18">
        <f>B5</f>
        <v>0.28000000000000003</v>
      </c>
    </row>
    <row r="9" spans="1:6" x14ac:dyDescent="0.3">
      <c r="A9" s="4" t="s">
        <v>637</v>
      </c>
      <c r="B9" s="4"/>
      <c r="C9" s="4"/>
      <c r="D9" s="4"/>
      <c r="E9" s="4"/>
      <c r="F9" s="4"/>
    </row>
    <row r="10" spans="1:6" x14ac:dyDescent="0.3">
      <c r="A10" t="s">
        <v>638</v>
      </c>
      <c r="B10" s="17" t="s">
        <v>43</v>
      </c>
    </row>
    <row r="11" spans="1:6" x14ac:dyDescent="0.3">
      <c r="A11" t="s">
        <v>639</v>
      </c>
      <c r="B11" s="13">
        <f>INDEX(Reference!$E$4:$E$8,MATCH(B10,Reference!$D$4:$D$8,0))</f>
        <v>3000</v>
      </c>
    </row>
    <row r="12" spans="1:6" ht="28.8" x14ac:dyDescent="0.3">
      <c r="A12" t="s">
        <v>640</v>
      </c>
      <c r="B12" s="19" t="s">
        <v>641</v>
      </c>
    </row>
    <row r="15" spans="1:6" x14ac:dyDescent="0.3">
      <c r="A15" s="4" t="s">
        <v>642</v>
      </c>
      <c r="B15" s="4"/>
      <c r="C15" s="4"/>
      <c r="D15" s="4"/>
      <c r="E15" s="4"/>
      <c r="F15" s="4"/>
    </row>
    <row r="16" spans="1:6" ht="27.6" x14ac:dyDescent="0.3">
      <c r="A16" s="11" t="s">
        <v>27</v>
      </c>
      <c r="B16" s="11" t="s">
        <v>37</v>
      </c>
      <c r="C16" s="11" t="s">
        <v>643</v>
      </c>
      <c r="D16" s="11" t="s">
        <v>644</v>
      </c>
    </row>
    <row r="17" spans="1:4" x14ac:dyDescent="0.3">
      <c r="A17">
        <f>Cleaned_Data!A4</f>
        <v>10303</v>
      </c>
      <c r="B17" s="15">
        <f>Cleaned_Data!K4</f>
        <v>600</v>
      </c>
      <c r="C17" t="str">
        <f t="shared" ref="C17:C26" si="0">IF(B17&gt;150,"High",IF(B17&gt;75,"Medium","Low"))</f>
        <v>High</v>
      </c>
      <c r="D17" t="s">
        <v>645</v>
      </c>
    </row>
    <row r="18" spans="1:4" x14ac:dyDescent="0.3">
      <c r="A18">
        <f>Cleaned_Data!A5</f>
        <v>10092</v>
      </c>
      <c r="B18" s="15">
        <f>Cleaned_Data!K5</f>
        <v>36.58</v>
      </c>
      <c r="C18" t="str">
        <f t="shared" si="0"/>
        <v>Low</v>
      </c>
    </row>
    <row r="19" spans="1:4" x14ac:dyDescent="0.3">
      <c r="A19">
        <f>Cleaned_Data!A6</f>
        <v>10016</v>
      </c>
      <c r="B19" s="15">
        <f>Cleaned_Data!K6</f>
        <v>27</v>
      </c>
      <c r="C19" t="str">
        <f t="shared" si="0"/>
        <v>Low</v>
      </c>
    </row>
    <row r="20" spans="1:4" x14ac:dyDescent="0.3">
      <c r="A20">
        <f>Cleaned_Data!A7</f>
        <v>10140</v>
      </c>
      <c r="B20" s="15">
        <f>Cleaned_Data!K7</f>
        <v>11.48</v>
      </c>
      <c r="C20" t="str">
        <f t="shared" si="0"/>
        <v>Low</v>
      </c>
    </row>
    <row r="21" spans="1:4" x14ac:dyDescent="0.3">
      <c r="A21">
        <f>Cleaned_Data!A8</f>
        <v>10079</v>
      </c>
      <c r="B21" s="15">
        <f>Cleaned_Data!K8</f>
        <v>162</v>
      </c>
      <c r="C21" t="str">
        <f t="shared" si="0"/>
        <v>High</v>
      </c>
    </row>
    <row r="22" spans="1:4" x14ac:dyDescent="0.3">
      <c r="A22">
        <f>Cleaned_Data!A9</f>
        <v>10370</v>
      </c>
      <c r="B22" s="15">
        <f>Cleaned_Data!K9</f>
        <v>69.930000000000007</v>
      </c>
      <c r="C22" t="str">
        <f t="shared" si="0"/>
        <v>Low</v>
      </c>
    </row>
    <row r="23" spans="1:4" x14ac:dyDescent="0.3">
      <c r="A23">
        <f>Cleaned_Data!A10</f>
        <v>10337</v>
      </c>
      <c r="B23" s="15">
        <f>Cleaned_Data!K10</f>
        <v>384</v>
      </c>
      <c r="C23" t="str">
        <f t="shared" si="0"/>
        <v>High</v>
      </c>
    </row>
    <row r="24" spans="1:4" x14ac:dyDescent="0.3">
      <c r="A24">
        <f>Cleaned_Data!A11</f>
        <v>10374</v>
      </c>
      <c r="B24" s="15">
        <f>Cleaned_Data!K11</f>
        <v>11.63</v>
      </c>
      <c r="C24" t="str">
        <f t="shared" si="0"/>
        <v>Low</v>
      </c>
    </row>
    <row r="25" spans="1:4" x14ac:dyDescent="0.3">
      <c r="A25">
        <f>Cleaned_Data!A12</f>
        <v>10357</v>
      </c>
      <c r="B25" s="15">
        <f>Cleaned_Data!K12</f>
        <v>9.35</v>
      </c>
      <c r="C25" t="str">
        <f t="shared" si="0"/>
        <v>Low</v>
      </c>
    </row>
    <row r="26" spans="1:4" x14ac:dyDescent="0.3">
      <c r="A26">
        <f>Cleaned_Data!A13</f>
        <v>10020</v>
      </c>
      <c r="B26" s="15">
        <f>Cleaned_Data!K13</f>
        <v>60</v>
      </c>
      <c r="C26" t="str">
        <f t="shared" si="0"/>
        <v>Low</v>
      </c>
    </row>
  </sheetData>
  <mergeCells count="4">
    <mergeCell ref="A1:F1"/>
    <mergeCell ref="A3:F3"/>
    <mergeCell ref="A9:F9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zoomScaleNormal="100" workbookViewId="0">
      <selection sqref="A1:J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3" customWidth="1"/>
    <col min="4" max="4" width="16" customWidth="1"/>
    <col min="5" max="5" width="14" customWidth="1"/>
    <col min="6" max="6" width="3" customWidth="1"/>
    <col min="7" max="7" width="10" customWidth="1"/>
    <col min="8" max="8" width="12" customWidth="1"/>
  </cols>
  <sheetData>
    <row r="1" spans="1:10" ht="25.5" customHeight="1" x14ac:dyDescent="0.3">
      <c r="A1" s="5" t="s">
        <v>667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3" t="s">
        <v>648</v>
      </c>
      <c r="B3" s="3"/>
      <c r="C3" s="3" t="s">
        <v>649</v>
      </c>
      <c r="D3" s="3"/>
      <c r="E3" s="3" t="s">
        <v>668</v>
      </c>
      <c r="F3" s="3"/>
      <c r="G3" s="3" t="s">
        <v>651</v>
      </c>
      <c r="H3" s="3"/>
    </row>
    <row r="4" spans="1:10" ht="21.75" customHeight="1" x14ac:dyDescent="0.3">
      <c r="A4" s="2">
        <f>SUM(Cleaned_Data!K4:K369)</f>
        <v>61938.780000000006</v>
      </c>
      <c r="B4" s="2"/>
      <c r="C4" s="2">
        <f>SUM(Cleaned_Data!L4:L369)</f>
        <v>13582.359999999997</v>
      </c>
      <c r="D4" s="2"/>
      <c r="E4" s="1">
        <f>COUNT(Cleaned_Data!A4:A369)</f>
        <v>366</v>
      </c>
      <c r="F4" s="1"/>
      <c r="G4" s="2">
        <f>SUM(Cleaned_Data!K4:K369)/COUNT(Cleaned_Data!A4:A369)</f>
        <v>169.23163934426231</v>
      </c>
      <c r="H4" s="2"/>
    </row>
    <row r="6" spans="1:10" x14ac:dyDescent="0.3">
      <c r="A6" s="4" t="s">
        <v>669</v>
      </c>
      <c r="B6" s="4"/>
      <c r="C6" s="4"/>
    </row>
    <row r="7" spans="1:10" x14ac:dyDescent="0.3">
      <c r="A7" t="s">
        <v>670</v>
      </c>
      <c r="B7" s="20" t="s">
        <v>671</v>
      </c>
    </row>
    <row r="8" spans="1:10" x14ac:dyDescent="0.3">
      <c r="A8" t="s">
        <v>672</v>
      </c>
      <c r="B8" s="15">
        <f>IF(B7="All",SUM(Cleaned_Data!K4:K369),SUMIFS(Cleaned_Data!K4:K369,Cleaned_Data!E4:E369,B7))</f>
        <v>61938.780000000006</v>
      </c>
    </row>
    <row r="9" spans="1:10" x14ac:dyDescent="0.3">
      <c r="A9" t="s">
        <v>673</v>
      </c>
      <c r="B9">
        <f>IF(B7="All",COUNT(Cleaned_Data!A4:A369),COUNTIFS(Cleaned_Data!E4:E369,B7))</f>
        <v>366</v>
      </c>
    </row>
    <row r="10" spans="1:10" ht="27.75" customHeight="1" x14ac:dyDescent="0.3">
      <c r="A10" t="s">
        <v>674</v>
      </c>
      <c r="B10" s="19" t="s">
        <v>675</v>
      </c>
    </row>
    <row r="12" spans="1:10" x14ac:dyDescent="0.3">
      <c r="A12" s="4" t="s">
        <v>676</v>
      </c>
      <c r="B12" s="4"/>
      <c r="D12" s="21" t="s">
        <v>677</v>
      </c>
      <c r="G12" s="21" t="s">
        <v>678</v>
      </c>
    </row>
    <row r="13" spans="1:10" x14ac:dyDescent="0.3">
      <c r="A13" t="s">
        <v>31</v>
      </c>
      <c r="B13" t="s">
        <v>37</v>
      </c>
      <c r="D13" t="s">
        <v>32</v>
      </c>
      <c r="E13" t="s">
        <v>37</v>
      </c>
      <c r="G13" t="s">
        <v>654</v>
      </c>
      <c r="H13" t="s">
        <v>37</v>
      </c>
    </row>
    <row r="14" spans="1:10" x14ac:dyDescent="0.3">
      <c r="A14" t="str">
        <f>Summary_Analysis!A5</f>
        <v>North</v>
      </c>
      <c r="B14" s="15">
        <f>Summary_Analysis!B5</f>
        <v>12826.569999999996</v>
      </c>
      <c r="D14" t="str">
        <f>Summary_Analysis!A14</f>
        <v>Electronics</v>
      </c>
      <c r="E14" s="15">
        <f>Summary_Analysis!B14</f>
        <v>9528.8899999999976</v>
      </c>
      <c r="G14" t="str">
        <f>Summary_Analysis!A22</f>
        <v>Jan-2024</v>
      </c>
      <c r="H14" s="15">
        <f>Summary_Analysis!B22</f>
        <v>4785.91</v>
      </c>
    </row>
    <row r="15" spans="1:10" x14ac:dyDescent="0.3">
      <c r="A15" t="str">
        <f>Summary_Analysis!A6</f>
        <v>South</v>
      </c>
      <c r="B15" s="15">
        <f>Summary_Analysis!B6</f>
        <v>12192.13</v>
      </c>
      <c r="D15" t="str">
        <f>Summary_Analysis!A15</f>
        <v>Furniture</v>
      </c>
      <c r="E15" s="15">
        <f>Summary_Analysis!B15</f>
        <v>30998.36</v>
      </c>
      <c r="G15" t="str">
        <f>Summary_Analysis!A23</f>
        <v>Feb-2024</v>
      </c>
      <c r="H15" s="15">
        <f>Summary_Analysis!B23</f>
        <v>6279.0899999999992</v>
      </c>
    </row>
    <row r="16" spans="1:10" x14ac:dyDescent="0.3">
      <c r="A16" t="str">
        <f>Summary_Analysis!A7</f>
        <v>East</v>
      </c>
      <c r="B16" s="15">
        <f>Summary_Analysis!B7</f>
        <v>10840.839999999998</v>
      </c>
      <c r="D16" t="str">
        <f>Summary_Analysis!A16</f>
        <v>Stationery</v>
      </c>
      <c r="E16" s="15">
        <f>Summary_Analysis!B16</f>
        <v>4798.8900000000012</v>
      </c>
      <c r="G16" t="str">
        <f>Summary_Analysis!A24</f>
        <v>Mar-2024</v>
      </c>
      <c r="H16" s="15">
        <f>Summary_Analysis!B24</f>
        <v>4719.0400000000009</v>
      </c>
    </row>
    <row r="17" spans="1:8" x14ac:dyDescent="0.3">
      <c r="A17" t="str">
        <f>Summary_Analysis!A8</f>
        <v>West</v>
      </c>
      <c r="B17" s="15">
        <f>Summary_Analysis!B8</f>
        <v>13643.61</v>
      </c>
      <c r="D17" t="str">
        <f>Summary_Analysis!A17</f>
        <v>Apparel</v>
      </c>
      <c r="E17" s="15">
        <f>Summary_Analysis!B17</f>
        <v>16612.639999999992</v>
      </c>
      <c r="G17" t="str">
        <f>Summary_Analysis!A25</f>
        <v>Apr-2024</v>
      </c>
      <c r="H17" s="15">
        <f>Summary_Analysis!B25</f>
        <v>4198.4800000000005</v>
      </c>
    </row>
    <row r="18" spans="1:8" x14ac:dyDescent="0.3">
      <c r="A18" t="str">
        <f>Summary_Analysis!A9</f>
        <v>Central</v>
      </c>
      <c r="B18" s="15">
        <f>Summary_Analysis!B9</f>
        <v>12435.629999999997</v>
      </c>
      <c r="G18" t="str">
        <f>Summary_Analysis!A26</f>
        <v>May-2024</v>
      </c>
      <c r="H18" s="15">
        <f>Summary_Analysis!B26</f>
        <v>4189.1099999999997</v>
      </c>
    </row>
    <row r="19" spans="1:8" x14ac:dyDescent="0.3">
      <c r="G19" t="str">
        <f>Summary_Analysis!A27</f>
        <v>Jun-2024</v>
      </c>
      <c r="H19" s="15">
        <f>Summary_Analysis!B27</f>
        <v>6150.2199999999993</v>
      </c>
    </row>
    <row r="20" spans="1:8" x14ac:dyDescent="0.3">
      <c r="G20" t="str">
        <f>Summary_Analysis!A28</f>
        <v>Jul-2024</v>
      </c>
      <c r="H20" s="15">
        <f>Summary_Analysis!B28</f>
        <v>4279.26</v>
      </c>
    </row>
    <row r="21" spans="1:8" x14ac:dyDescent="0.3">
      <c r="G21" t="str">
        <f>Summary_Analysis!A29</f>
        <v>Aug-2024</v>
      </c>
      <c r="H21" s="15">
        <f>Summary_Analysis!B29</f>
        <v>5068.45</v>
      </c>
    </row>
    <row r="22" spans="1:8" x14ac:dyDescent="0.3">
      <c r="G22" t="str">
        <f>Summary_Analysis!A30</f>
        <v>Sep-2024</v>
      </c>
      <c r="H22" s="15">
        <f>Summary_Analysis!B30</f>
        <v>7371.42</v>
      </c>
    </row>
    <row r="23" spans="1:8" x14ac:dyDescent="0.3">
      <c r="G23" t="str">
        <f>Summary_Analysis!A31</f>
        <v>Oct-2024</v>
      </c>
      <c r="H23" s="15">
        <f>Summary_Analysis!B31</f>
        <v>4600.4999999999991</v>
      </c>
    </row>
    <row r="24" spans="1:8" x14ac:dyDescent="0.3">
      <c r="G24" t="str">
        <f>Summary_Analysis!A32</f>
        <v>Nov-2024</v>
      </c>
      <c r="H24" s="15">
        <f>Summary_Analysis!B32</f>
        <v>6127.85</v>
      </c>
    </row>
    <row r="25" spans="1:8" x14ac:dyDescent="0.3">
      <c r="G25" t="str">
        <f>Summary_Analysis!A33</f>
        <v>Dec-2024</v>
      </c>
      <c r="H25" s="15">
        <f>Summary_Analysis!B33</f>
        <v>4169.45</v>
      </c>
    </row>
  </sheetData>
  <mergeCells count="11">
    <mergeCell ref="A12:B12"/>
    <mergeCell ref="A4:B4"/>
    <mergeCell ref="C4:D4"/>
    <mergeCell ref="E4:F4"/>
    <mergeCell ref="G4:H4"/>
    <mergeCell ref="A6:C6"/>
    <mergeCell ref="A1:J1"/>
    <mergeCell ref="A3:B3"/>
    <mergeCell ref="C3:D3"/>
    <mergeCell ref="E3:F3"/>
    <mergeCell ref="G3:H3"/>
  </mergeCells>
  <conditionalFormatting sqref="B14:B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{EFF478E0-C140-4A7D-B15E-1935F897AE9D}</x14:id>
        </ext>
      </extLst>
    </cfRule>
  </conditionalFormatting>
  <conditionalFormatting sqref="E14:E17">
    <cfRule type="colorScale" priority="3">
      <colorScale>
        <cfvo type="min"/>
        <cfvo type="max"/>
        <color rgb="FFF8696B"/>
        <color rgb="FF63BE7B"/>
      </colorScale>
    </cfRule>
  </conditionalFormatting>
  <conditionalFormatting sqref="H14:H25"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{15A8C768-5E5B-43B6-89DB-8045354FBADE}</x14:id>
        </ext>
      </extLst>
    </cfRule>
  </conditionalFormatting>
  <dataValidations count="1">
    <dataValidation type="list" sqref="B7" xr:uid="{00000000-0002-0000-0600-000000000000}">
      <formula1>"All,North,South,East,West,Central"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F478E0-C140-4A7D-B15E-1935F897AE9D}">
            <x14:dataBar axisPosition="none">
              <x14:cfvo type="min"/>
              <x14:cfvo type="max"/>
              <x14:negativeFillColor rgb="FF638EC6"/>
            </x14:dataBar>
          </x14:cfRule>
          <xm:sqref>B14:B18</xm:sqref>
        </x14:conditionalFormatting>
        <x14:conditionalFormatting xmlns:xm="http://schemas.microsoft.com/office/excel/2006/main">
          <x14:cfRule type="dataBar" id="{15A8C768-5E5B-43B6-89DB-8045354FBADE}">
            <x14:dataBar axisPosition="none">
              <x14:cfvo type="min"/>
              <x14:cfvo type="max"/>
              <x14:negativeFillColor rgb="FF70AD47"/>
            </x14:dataBar>
          </x14:cfRule>
          <xm:sqref>H14:H25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Reference</vt:lpstr>
      <vt:lpstr>Raw_Data</vt:lpstr>
      <vt:lpstr>Cleaned_Data</vt:lpstr>
      <vt:lpstr>Summary_Analysis</vt:lpstr>
      <vt:lpstr>Formulas_Demo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Manav Patel</dc:creator>
  <dc:description/>
  <cp:lastModifiedBy>Manav Patel</cp:lastModifiedBy>
  <cp:revision>1</cp:revision>
  <dcterms:created xsi:type="dcterms:W3CDTF">2026-08-19T06:39:10Z</dcterms:created>
  <dcterms:modified xsi:type="dcterms:W3CDTF">2026-09-23T06:26:44Z</dcterms:modified>
  <dc:language>en-US</dc:language>
</cp:coreProperties>
</file>